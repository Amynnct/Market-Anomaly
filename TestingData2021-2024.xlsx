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ing data" sheetId="1" r:id="rId4"/>
    <sheet state="visible" name="VIX" sheetId="2" r:id="rId5"/>
    <sheet state="visible" name="GTITL2YR" sheetId="3" r:id="rId6"/>
    <sheet state="visible" name="EONIA" sheetId="4" r:id="rId7"/>
    <sheet state="visible" name="Germany 30Y" sheetId="5" r:id="rId8"/>
    <sheet state="visible" name="LP01TREU" sheetId="6" r:id="rId9"/>
    <sheet state="visible" name="MXJP" sheetId="7" r:id="rId10"/>
  </sheets>
  <definedNames>
    <definedName hidden="1" localSheetId="1" name="_xlnm._FilterDatabase">VIX!$F$1:$F$1000</definedName>
    <definedName hidden="1" localSheetId="3" name="_xlnm._FilterDatabase">EONIA!$C$1:$C$1000</definedName>
  </definedNames>
  <calcPr/>
</workbook>
</file>

<file path=xl/sharedStrings.xml><?xml version="1.0" encoding="utf-8"?>
<sst xmlns="http://schemas.openxmlformats.org/spreadsheetml/2006/main" count="161" uniqueCount="78">
  <si>
    <t>Data</t>
  </si>
  <si>
    <t>VIX</t>
  </si>
  <si>
    <t>GTITL2YR</t>
  </si>
  <si>
    <t>EONIA</t>
  </si>
  <si>
    <t>GTDEM30Y</t>
  </si>
  <si>
    <t>LP01TREU</t>
  </si>
  <si>
    <t>MXJP</t>
  </si>
  <si>
    <t>Price</t>
  </si>
  <si>
    <t xml:space="preserve">Open </t>
  </si>
  <si>
    <t>High</t>
  </si>
  <si>
    <t>Low</t>
  </si>
  <si>
    <t>Change</t>
  </si>
  <si>
    <t>3.50K</t>
  </si>
  <si>
    <t>1.98K</t>
  </si>
  <si>
    <t>12.17K</t>
  </si>
  <si>
    <t>1.02K</t>
  </si>
  <si>
    <t>3.42K</t>
  </si>
  <si>
    <t>5.41K</t>
  </si>
  <si>
    <t>16.83K</t>
  </si>
  <si>
    <t>6.14K</t>
  </si>
  <si>
    <t>3.10K</t>
  </si>
  <si>
    <t>6.75K</t>
  </si>
  <si>
    <t>1.40K</t>
  </si>
  <si>
    <t>2.64K</t>
  </si>
  <si>
    <t>0.05K</t>
  </si>
  <si>
    <t>1.16K</t>
  </si>
  <si>
    <t>4.00K</t>
  </si>
  <si>
    <t>2.33K</t>
  </si>
  <si>
    <t>16.48K</t>
  </si>
  <si>
    <t>0.16K</t>
  </si>
  <si>
    <t>0.00K</t>
  </si>
  <si>
    <t>0.04K</t>
  </si>
  <si>
    <t>7.50K</t>
  </si>
  <si>
    <t>3.36K</t>
  </si>
  <si>
    <t>1.35K</t>
  </si>
  <si>
    <t>0.01K</t>
  </si>
  <si>
    <t>0.08K</t>
  </si>
  <si>
    <t>0.03K</t>
  </si>
  <si>
    <t>0.70K</t>
  </si>
  <si>
    <t>0.12K</t>
  </si>
  <si>
    <t>0.06K</t>
  </si>
  <si>
    <t>0.75K</t>
  </si>
  <si>
    <t>0.07K</t>
  </si>
  <si>
    <t>0.09K</t>
  </si>
  <si>
    <t>0.50K</t>
  </si>
  <si>
    <t>0.35K</t>
  </si>
  <si>
    <t>1.00K</t>
  </si>
  <si>
    <t>0.40K</t>
  </si>
  <si>
    <t>0.89K</t>
  </si>
  <si>
    <t>0.11K</t>
  </si>
  <si>
    <t>0.28K</t>
  </si>
  <si>
    <t>0.13K</t>
  </si>
  <si>
    <t>0.83K</t>
  </si>
  <si>
    <t>0.02K</t>
  </si>
  <si>
    <t>0.10K</t>
  </si>
  <si>
    <t>0.15K</t>
  </si>
  <si>
    <t>0.14K</t>
  </si>
  <si>
    <t>0.45K</t>
  </si>
  <si>
    <t>0.20K</t>
  </si>
  <si>
    <t>0.23K</t>
  </si>
  <si>
    <t>0.22K</t>
  </si>
  <si>
    <t>0.58K</t>
  </si>
  <si>
    <t>0.39K</t>
  </si>
  <si>
    <t>0.67K</t>
  </si>
  <si>
    <t>0.21K</t>
  </si>
  <si>
    <t>1.03K</t>
  </si>
  <si>
    <t>0.29K</t>
  </si>
  <si>
    <t>0.17K</t>
  </si>
  <si>
    <t>1.26K</t>
  </si>
  <si>
    <t>0.74K</t>
  </si>
  <si>
    <t>0.27K</t>
  </si>
  <si>
    <t>1.50K</t>
  </si>
  <si>
    <t>0.66K</t>
  </si>
  <si>
    <t>0.63K</t>
  </si>
  <si>
    <t>0.46K</t>
  </si>
  <si>
    <t>0.31K</t>
  </si>
  <si>
    <t>0.84K</t>
  </si>
  <si>
    <t>0.32K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</si>
</sst>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mm/dd/yyyy"/>
    <numFmt numFmtId="165" formatCode="m/d/yyyy"/>
    <numFmt numFmtId="166" formatCode="mmmm dd, yyyy"/>
    <numFmt numFmtId="167" formatCode="mmmm d, yyyy"/>
    <numFmt numFmtId="168" formatCode="mmm dd, yyyy"/>
    <numFmt numFmtId="169" formatCode="mmm d, yyyy"/>
    <numFmt numFmtId="170" formatCode="yyyy-mm-dd"/>
  </numFmts>
  <fonts count="10">
    <font>
      <sz val="10.0"/>
      <color rgb="FF000000"/>
      <name val="Arial"/>
      <scheme val="minor"/>
    </font>
    <font>
      <color theme="1"/>
      <name val="Arial"/>
      <scheme val="minor"/>
    </font>
    <font>
      <color rgb="FF232526"/>
      <name val="Inter"/>
    </font>
    <font>
      <b/>
      <color rgb="FF232526"/>
      <name val="Inter"/>
    </font>
    <font>
      <b/>
      <color rgb="FF333333"/>
      <name val="Inherit"/>
    </font>
    <font>
      <sz val="9.0"/>
      <color rgb="FF0EA600"/>
      <name val="Arial"/>
    </font>
    <font>
      <sz val="9.0"/>
      <color rgb="FF333333"/>
      <name val="Arial"/>
    </font>
    <font>
      <b/>
      <color rgb="FF0EA600"/>
      <name val="Inherit"/>
    </font>
    <font>
      <sz val="9.0"/>
      <color rgb="FFFF0000"/>
      <name val="Arial"/>
    </font>
    <font>
      <b/>
      <color rgb="FFFF0000"/>
      <name val="Inherit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DF4FA"/>
        <bgColor rgb="FFEDF4FA"/>
      </patternFill>
    </fill>
  </fills>
  <borders count="3">
    <border/>
    <border>
      <top style="medium">
        <color rgb="FFBABABA"/>
      </top>
    </border>
    <border>
      <top style="thin">
        <color rgb="FFDADADA"/>
      </top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horizontal="right" readingOrder="0"/>
    </xf>
    <xf borderId="0" fillId="2" fontId="2" numFmtId="0" xfId="0" applyAlignment="1" applyFill="1" applyFont="1">
      <alignment horizontal="right" readingOrder="0"/>
    </xf>
    <xf borderId="0" fillId="0" fontId="1" numFmtId="165" xfId="0" applyAlignment="1" applyFont="1" applyNumberFormat="1">
      <alignment readingOrder="0"/>
    </xf>
    <xf borderId="0" fillId="0" fontId="1" numFmtId="0" xfId="0" applyFont="1"/>
    <xf borderId="0" fillId="0" fontId="2" numFmtId="166" xfId="0" applyAlignment="1" applyFont="1" applyNumberFormat="1">
      <alignment horizontal="left" readingOrder="0" shrinkToFit="0" wrapText="0"/>
    </xf>
    <xf borderId="0" fillId="0" fontId="3" numFmtId="10" xfId="0" applyAlignment="1" applyFont="1" applyNumberFormat="1">
      <alignment horizontal="right" readingOrder="0" shrinkToFit="0" wrapText="0"/>
    </xf>
    <xf borderId="0" fillId="0" fontId="2" numFmtId="167" xfId="0" applyAlignment="1" applyFont="1" applyNumberFormat="1">
      <alignment horizontal="left" readingOrder="0" shrinkToFit="0" wrapText="0"/>
    </xf>
    <xf borderId="0" fillId="0" fontId="3" numFmtId="0" xfId="0" applyAlignment="1" applyFont="1">
      <alignment horizontal="right" shrinkToFit="0" wrapText="0"/>
    </xf>
    <xf borderId="0" fillId="0" fontId="2" numFmtId="168" xfId="0" applyAlignment="1" applyFont="1" applyNumberFormat="1">
      <alignment horizontal="left" readingOrder="0" shrinkToFit="0" wrapText="0"/>
    </xf>
    <xf borderId="0" fillId="0" fontId="2" numFmtId="169" xfId="0" applyAlignment="1" applyFont="1" applyNumberFormat="1">
      <alignment horizontal="left" readingOrder="0" shrinkToFit="0" wrapText="0"/>
    </xf>
    <xf borderId="0" fillId="0" fontId="1" numFmtId="170" xfId="0" applyAlignment="1" applyFont="1" applyNumberFormat="1">
      <alignment readingOrder="0"/>
    </xf>
    <xf borderId="0" fillId="2" fontId="2" numFmtId="170" xfId="0" applyAlignment="1" applyFont="1" applyNumberFormat="1">
      <alignment horizontal="right" readingOrder="0"/>
    </xf>
    <xf borderId="0" fillId="2" fontId="2" numFmtId="0" xfId="0" applyAlignment="1" applyFont="1">
      <alignment horizontal="right"/>
    </xf>
    <xf borderId="0" fillId="2" fontId="3" numFmtId="0" xfId="0" applyAlignment="1" applyFont="1">
      <alignment horizontal="right" shrinkToFit="0" wrapText="0"/>
    </xf>
    <xf borderId="0" fillId="2" fontId="3" numFmtId="10" xfId="0" applyAlignment="1" applyFont="1" applyNumberFormat="1">
      <alignment horizontal="right" readingOrder="0" shrinkToFit="0" wrapText="0"/>
    </xf>
    <xf borderId="0" fillId="2" fontId="2" numFmtId="170" xfId="0" applyAlignment="1" applyFont="1" applyNumberFormat="1">
      <alignment readingOrder="0"/>
    </xf>
    <xf borderId="0" fillId="0" fontId="2" numFmtId="0" xfId="0" applyFont="1"/>
    <xf borderId="1" fillId="2" fontId="4" numFmtId="169" xfId="0" applyAlignment="1" applyBorder="1" applyFont="1" applyNumberFormat="1">
      <alignment horizontal="left" readingOrder="0" shrinkToFit="0" wrapText="0"/>
    </xf>
    <xf borderId="1" fillId="2" fontId="5" numFmtId="0" xfId="0" applyAlignment="1" applyBorder="1" applyFont="1">
      <alignment horizontal="right" readingOrder="0"/>
    </xf>
    <xf borderId="1" fillId="2" fontId="6" numFmtId="0" xfId="0" applyAlignment="1" applyBorder="1" applyFont="1">
      <alignment horizontal="right" readingOrder="0"/>
    </xf>
    <xf borderId="1" fillId="2" fontId="7" numFmtId="10" xfId="0" applyAlignment="1" applyBorder="1" applyFont="1" applyNumberFormat="1">
      <alignment horizontal="right" readingOrder="0"/>
    </xf>
    <xf borderId="2" fillId="2" fontId="4" numFmtId="168" xfId="0" applyAlignment="1" applyBorder="1" applyFont="1" applyNumberFormat="1">
      <alignment horizontal="left" readingOrder="0" shrinkToFit="0" wrapText="0"/>
    </xf>
    <xf borderId="2" fillId="2" fontId="8" numFmtId="0" xfId="0" applyAlignment="1" applyBorder="1" applyFont="1">
      <alignment horizontal="right" readingOrder="0"/>
    </xf>
    <xf borderId="2" fillId="2" fontId="6" numFmtId="0" xfId="0" applyAlignment="1" applyBorder="1" applyFont="1">
      <alignment horizontal="right" readingOrder="0"/>
    </xf>
    <xf borderId="2" fillId="2" fontId="9" numFmtId="10" xfId="0" applyAlignment="1" applyBorder="1" applyFont="1" applyNumberFormat="1">
      <alignment horizontal="right" readingOrder="0"/>
    </xf>
    <xf borderId="2" fillId="2" fontId="4" numFmtId="169" xfId="0" applyAlignment="1" applyBorder="1" applyFont="1" applyNumberFormat="1">
      <alignment horizontal="left" readingOrder="0" shrinkToFit="0" wrapText="0"/>
    </xf>
    <xf borderId="2" fillId="2" fontId="5" numFmtId="0" xfId="0" applyAlignment="1" applyBorder="1" applyFont="1">
      <alignment horizontal="right" readingOrder="0"/>
    </xf>
    <xf borderId="2" fillId="2" fontId="7" numFmtId="10" xfId="0" applyAlignment="1" applyBorder="1" applyFont="1" applyNumberFormat="1">
      <alignment horizontal="right" readingOrder="0"/>
    </xf>
    <xf borderId="2" fillId="2" fontId="4" numFmtId="166" xfId="0" applyAlignment="1" applyBorder="1" applyFont="1" applyNumberFormat="1">
      <alignment horizontal="left" readingOrder="0" shrinkToFit="0" wrapText="0"/>
    </xf>
    <xf borderId="2" fillId="2" fontId="4" numFmtId="167" xfId="0" applyAlignment="1" applyBorder="1" applyFont="1" applyNumberFormat="1">
      <alignment horizontal="left" readingOrder="0" shrinkToFit="0" wrapText="0"/>
    </xf>
    <xf borderId="2" fillId="3" fontId="4" numFmtId="168" xfId="0" applyAlignment="1" applyBorder="1" applyFill="1" applyFont="1" applyNumberFormat="1">
      <alignment horizontal="left" readingOrder="0" shrinkToFit="0" wrapText="0"/>
    </xf>
    <xf borderId="2" fillId="3" fontId="5" numFmtId="0" xfId="0" applyAlignment="1" applyBorder="1" applyFont="1">
      <alignment horizontal="right" readingOrder="0"/>
    </xf>
    <xf borderId="2" fillId="3" fontId="6" numFmtId="0" xfId="0" applyAlignment="1" applyBorder="1" applyFont="1">
      <alignment horizontal="right" readingOrder="0"/>
    </xf>
    <xf borderId="2" fillId="3" fontId="7" numFmtId="10" xfId="0" applyAlignment="1" applyBorder="1" applyFont="1" applyNumberForma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44313.0</v>
      </c>
      <c r="B2" s="1">
        <v>17.62</v>
      </c>
      <c r="C2" s="3">
        <v>-0.314</v>
      </c>
      <c r="D2" s="1">
        <v>-0.56</v>
      </c>
      <c r="E2" s="3">
        <v>0.357</v>
      </c>
      <c r="F2" s="1">
        <v>100.116</v>
      </c>
      <c r="G2" s="4">
        <v>75.81</v>
      </c>
    </row>
    <row r="3">
      <c r="A3" s="2">
        <v>44320.0</v>
      </c>
      <c r="B3" s="1">
        <v>18.16</v>
      </c>
      <c r="C3" s="3">
        <v>-0.21</v>
      </c>
      <c r="D3" s="4">
        <v>-0.564</v>
      </c>
      <c r="E3" s="3">
        <v>0.347</v>
      </c>
      <c r="F3" s="1">
        <v>100.085</v>
      </c>
      <c r="G3" s="4">
        <v>74.12</v>
      </c>
    </row>
    <row r="4">
      <c r="A4" s="2">
        <v>44327.0</v>
      </c>
      <c r="B4" s="1">
        <v>21.17</v>
      </c>
      <c r="C4" s="3">
        <v>-0.241</v>
      </c>
      <c r="D4" s="4">
        <v>-0.564</v>
      </c>
      <c r="E4" s="3">
        <v>0.438</v>
      </c>
      <c r="F4" s="1">
        <v>100.038</v>
      </c>
      <c r="G4" s="4">
        <v>75.82</v>
      </c>
    </row>
    <row r="5">
      <c r="A5" s="2">
        <v>44334.0</v>
      </c>
      <c r="B5" s="1">
        <v>18.89</v>
      </c>
      <c r="C5" s="3">
        <v>-0.318</v>
      </c>
      <c r="D5" s="4">
        <v>-0.558</v>
      </c>
      <c r="E5" s="3">
        <v>0.424</v>
      </c>
      <c r="F5" s="1">
        <v>100.116</v>
      </c>
      <c r="G5" s="4">
        <v>73.46</v>
      </c>
    </row>
    <row r="6">
      <c r="A6" s="2">
        <v>44341.0</v>
      </c>
      <c r="B6" s="1">
        <v>18.35</v>
      </c>
      <c r="C6" s="3">
        <v>-0.355</v>
      </c>
      <c r="D6" s="4">
        <v>-0.565</v>
      </c>
      <c r="E6" s="3">
        <v>0.383</v>
      </c>
      <c r="F6" s="1">
        <v>100.107</v>
      </c>
      <c r="G6" s="4">
        <v>74.46</v>
      </c>
    </row>
    <row r="7">
      <c r="A7" s="2">
        <v>44349.0</v>
      </c>
      <c r="B7" s="1">
        <v>17.86</v>
      </c>
      <c r="C7" s="3">
        <v>-0.401</v>
      </c>
      <c r="D7" s="4">
        <v>-0.564</v>
      </c>
      <c r="E7" s="3">
        <v>0.357</v>
      </c>
      <c r="F7" s="1">
        <v>100.596</v>
      </c>
      <c r="G7" s="4">
        <v>75.64</v>
      </c>
    </row>
    <row r="8">
      <c r="A8" s="2">
        <v>44356.0</v>
      </c>
      <c r="B8" s="1">
        <v>17.18</v>
      </c>
      <c r="C8" s="3">
        <v>-0.336</v>
      </c>
      <c r="D8" s="4">
        <v>-0.563</v>
      </c>
      <c r="E8" s="3">
        <v>0.291</v>
      </c>
      <c r="F8" s="1">
        <v>100.116</v>
      </c>
      <c r="G8" s="4">
        <v>76.43</v>
      </c>
    </row>
    <row r="9">
      <c r="A9" s="2">
        <v>44363.0</v>
      </c>
      <c r="B9" s="1">
        <v>16.99</v>
      </c>
      <c r="C9" s="3">
        <v>-0.302</v>
      </c>
      <c r="D9" s="4">
        <v>-0.561</v>
      </c>
      <c r="E9" s="3">
        <v>0.252</v>
      </c>
      <c r="F9" s="1">
        <v>100.085</v>
      </c>
      <c r="G9" s="4">
        <v>76.1</v>
      </c>
    </row>
    <row r="10">
      <c r="A10" s="2">
        <v>44370.0</v>
      </c>
      <c r="B10" s="1">
        <v>16.25</v>
      </c>
      <c r="C10" s="3">
        <v>-0.382</v>
      </c>
      <c r="D10" s="1">
        <v>-0.564</v>
      </c>
      <c r="E10" s="3">
        <v>0.346</v>
      </c>
      <c r="F10" s="1">
        <v>100.038</v>
      </c>
      <c r="G10" s="4">
        <v>74.47</v>
      </c>
    </row>
    <row r="11">
      <c r="A11" s="2">
        <v>44377.0</v>
      </c>
      <c r="B11" s="1">
        <v>16.18</v>
      </c>
      <c r="C11" s="3">
        <v>-0.376</v>
      </c>
      <c r="D11" s="1">
        <v>-0.568</v>
      </c>
      <c r="E11" s="3">
        <v>0.277</v>
      </c>
      <c r="F11" s="1">
        <v>100.116</v>
      </c>
      <c r="G11" s="4">
        <v>75.74</v>
      </c>
    </row>
    <row r="12">
      <c r="A12" s="2">
        <v>44385.0</v>
      </c>
      <c r="B12" s="1">
        <v>17.74</v>
      </c>
      <c r="C12" s="3">
        <v>-0.407</v>
      </c>
      <c r="D12" s="1">
        <v>-0.565</v>
      </c>
      <c r="E12" s="3">
        <v>0.208</v>
      </c>
      <c r="F12" s="1">
        <v>100.107</v>
      </c>
      <c r="G12" s="4">
        <v>74.88</v>
      </c>
    </row>
    <row r="13">
      <c r="A13" s="2">
        <v>44392.0</v>
      </c>
      <c r="B13" s="1">
        <v>16.7</v>
      </c>
      <c r="C13" s="3">
        <v>-0.443</v>
      </c>
      <c r="D13" s="1">
        <v>-0.566</v>
      </c>
      <c r="E13" s="3">
        <v>0.132</v>
      </c>
      <c r="F13" s="1">
        <v>100.596</v>
      </c>
      <c r="G13" s="4">
        <v>75.47</v>
      </c>
    </row>
    <row r="14">
      <c r="A14" s="2">
        <v>44399.0</v>
      </c>
      <c r="B14" s="1">
        <v>17.59</v>
      </c>
      <c r="C14" s="3">
        <v>-0.441</v>
      </c>
      <c r="D14" s="1">
        <v>-0.567</v>
      </c>
      <c r="E14" s="3">
        <v>0.067</v>
      </c>
      <c r="F14" s="1">
        <v>100.868</v>
      </c>
      <c r="G14" s="4">
        <v>74.7</v>
      </c>
    </row>
    <row r="15">
      <c r="A15" s="2">
        <v>44406.0</v>
      </c>
      <c r="B15" s="1">
        <v>17.91</v>
      </c>
      <c r="C15" s="3">
        <v>-0.485</v>
      </c>
      <c r="D15" s="1">
        <v>-0.563</v>
      </c>
      <c r="E15" s="3">
        <v>0.023</v>
      </c>
      <c r="F15" s="1">
        <v>100.627</v>
      </c>
      <c r="G15" s="4">
        <v>75.14</v>
      </c>
    </row>
    <row r="16">
      <c r="A16" s="2">
        <v>44413.0</v>
      </c>
      <c r="B16" s="1">
        <v>17.73</v>
      </c>
      <c r="C16" s="3">
        <v>-0.487</v>
      </c>
      <c r="D16" s="1">
        <v>-0.57</v>
      </c>
      <c r="E16" s="3">
        <v>0.005</v>
      </c>
      <c r="F16" s="1">
        <v>100.718</v>
      </c>
      <c r="G16" s="4">
        <v>74.44</v>
      </c>
    </row>
    <row r="17">
      <c r="A17" s="2">
        <v>44420.0</v>
      </c>
      <c r="B17" s="1">
        <v>16.33</v>
      </c>
      <c r="C17" s="3">
        <v>-0.504</v>
      </c>
      <c r="D17" s="1">
        <v>-0.567</v>
      </c>
      <c r="E17" s="3">
        <v>-0.017</v>
      </c>
      <c r="F17" s="1">
        <v>100.929</v>
      </c>
      <c r="G17" s="4">
        <v>75.08</v>
      </c>
    </row>
    <row r="18">
      <c r="A18" s="2">
        <v>44427.0</v>
      </c>
      <c r="B18" s="1">
        <v>23.12</v>
      </c>
      <c r="C18" s="3">
        <v>-0.493</v>
      </c>
      <c r="D18" s="1">
        <v>-0.568</v>
      </c>
      <c r="E18" s="3">
        <v>-0.049</v>
      </c>
      <c r="F18" s="1">
        <v>100.594</v>
      </c>
      <c r="G18" s="4">
        <v>76.02</v>
      </c>
    </row>
    <row r="19">
      <c r="A19" s="2">
        <v>44434.0</v>
      </c>
      <c r="B19" s="1">
        <v>17.46</v>
      </c>
      <c r="C19" s="3">
        <v>-0.491</v>
      </c>
      <c r="D19" s="1">
        <v>-0.567</v>
      </c>
      <c r="E19" s="3">
        <v>0.053</v>
      </c>
      <c r="F19" s="1">
        <v>100.648</v>
      </c>
      <c r="G19" s="4">
        <v>73.44</v>
      </c>
    </row>
    <row r="20">
      <c r="A20" s="2">
        <v>44441.0</v>
      </c>
      <c r="B20" s="1">
        <v>16.27</v>
      </c>
      <c r="C20" s="3">
        <v>-0.482</v>
      </c>
      <c r="D20" s="1">
        <v>-0.57</v>
      </c>
      <c r="E20" s="3">
        <v>0.142</v>
      </c>
      <c r="F20" s="1">
        <v>100.574</v>
      </c>
      <c r="G20" s="4">
        <v>75.28</v>
      </c>
    </row>
    <row r="21">
      <c r="A21" s="2">
        <v>44449.0</v>
      </c>
      <c r="B21" s="1">
        <v>17.94</v>
      </c>
      <c r="C21" s="3">
        <v>-0.475</v>
      </c>
      <c r="D21" s="1">
        <v>-0.569</v>
      </c>
      <c r="E21" s="3">
        <v>0.157</v>
      </c>
      <c r="F21" s="1">
        <v>100.007</v>
      </c>
      <c r="G21" s="4">
        <v>79.15</v>
      </c>
    </row>
    <row r="22">
      <c r="A22" s="2">
        <v>44456.0</v>
      </c>
      <c r="B22" s="1">
        <v>18.37</v>
      </c>
      <c r="C22" s="3">
        <v>-0.47</v>
      </c>
      <c r="D22" s="1">
        <v>-0.568</v>
      </c>
      <c r="E22" s="3">
        <v>0.242</v>
      </c>
      <c r="F22" s="1">
        <v>100.01</v>
      </c>
      <c r="G22" s="4">
        <v>81.07</v>
      </c>
    </row>
    <row r="23">
      <c r="A23" s="2">
        <v>44463.0</v>
      </c>
      <c r="B23" s="1">
        <v>19.33</v>
      </c>
      <c r="C23" s="3">
        <v>-0.477</v>
      </c>
      <c r="D23" s="1">
        <v>-0.571</v>
      </c>
      <c r="E23" s="3">
        <v>0.287</v>
      </c>
      <c r="F23" s="1">
        <v>100.259</v>
      </c>
      <c r="G23" s="4">
        <v>81.18</v>
      </c>
    </row>
    <row r="24">
      <c r="A24" s="2">
        <v>44470.0</v>
      </c>
      <c r="B24" s="1">
        <v>24.78</v>
      </c>
      <c r="C24" s="3">
        <v>-0.486</v>
      </c>
      <c r="D24" s="1">
        <v>-0.573</v>
      </c>
      <c r="E24" s="3">
        <v>0.292</v>
      </c>
      <c r="F24" s="1">
        <v>100.295</v>
      </c>
      <c r="G24" s="4">
        <v>80.35</v>
      </c>
    </row>
    <row r="25">
      <c r="A25" s="2">
        <v>44477.0</v>
      </c>
      <c r="B25" s="1">
        <v>19.46</v>
      </c>
      <c r="C25" s="3">
        <v>-0.473</v>
      </c>
      <c r="D25" s="1">
        <v>-0.569</v>
      </c>
      <c r="E25" s="3">
        <v>0.357</v>
      </c>
      <c r="F25" s="1">
        <v>100.321</v>
      </c>
      <c r="G25" s="4">
        <v>76.87</v>
      </c>
    </row>
    <row r="26">
      <c r="A26" s="5">
        <v>44484.0</v>
      </c>
      <c r="B26" s="1">
        <v>16.64</v>
      </c>
      <c r="C26" s="3">
        <v>-0.41</v>
      </c>
      <c r="D26" s="1">
        <v>-0.562</v>
      </c>
      <c r="E26" s="3">
        <v>0.274</v>
      </c>
      <c r="F26" s="1">
        <v>100.923</v>
      </c>
      <c r="G26" s="4">
        <v>75.32</v>
      </c>
    </row>
    <row r="27">
      <c r="A27" s="5">
        <v>44491.0</v>
      </c>
      <c r="B27" s="1">
        <v>15.35</v>
      </c>
      <c r="C27" s="3">
        <v>-0.295</v>
      </c>
      <c r="D27" s="1">
        <v>-0.573</v>
      </c>
      <c r="E27" s="3">
        <v>0.141</v>
      </c>
      <c r="F27" s="1">
        <v>101.034</v>
      </c>
      <c r="G27" s="4">
        <v>76.52</v>
      </c>
    </row>
    <row r="28">
      <c r="A28" s="5">
        <v>44498.0</v>
      </c>
      <c r="B28" s="1">
        <v>17.4</v>
      </c>
      <c r="C28" s="3">
        <v>-0.552</v>
      </c>
      <c r="D28" s="1">
        <v>-0.57</v>
      </c>
      <c r="E28" s="3">
        <v>0.07</v>
      </c>
      <c r="F28" s="1">
        <v>100.786</v>
      </c>
      <c r="G28" s="4">
        <v>75.81</v>
      </c>
    </row>
    <row r="29">
      <c r="A29" s="2">
        <v>44505.0</v>
      </c>
      <c r="B29" s="1">
        <v>15.59</v>
      </c>
      <c r="C29" s="3">
        <v>-0.495</v>
      </c>
      <c r="D29" s="1">
        <v>-0.569</v>
      </c>
      <c r="E29" s="3">
        <v>0.069</v>
      </c>
      <c r="F29" s="1">
        <v>99.632</v>
      </c>
      <c r="G29" s="4">
        <v>75.6</v>
      </c>
    </row>
    <row r="30">
      <c r="A30" s="5">
        <v>44512.0</v>
      </c>
      <c r="B30" s="1">
        <v>17.49</v>
      </c>
      <c r="C30" s="3">
        <v>-0.557</v>
      </c>
      <c r="D30" s="1">
        <v>-0.575</v>
      </c>
      <c r="E30" s="3">
        <v>-0.007</v>
      </c>
      <c r="F30" s="1">
        <v>99.825</v>
      </c>
      <c r="G30" s="4">
        <v>77.81</v>
      </c>
    </row>
    <row r="31">
      <c r="A31" s="5">
        <v>44519.0</v>
      </c>
      <c r="B31" s="1">
        <v>17.36</v>
      </c>
      <c r="C31" s="3">
        <v>-0.513</v>
      </c>
      <c r="D31" s="1">
        <v>-0.571</v>
      </c>
      <c r="E31" s="3">
        <v>0.017</v>
      </c>
      <c r="F31" s="1">
        <v>100.417</v>
      </c>
      <c r="G31" s="4">
        <v>77.44</v>
      </c>
    </row>
    <row r="32">
      <c r="A32" s="5">
        <v>44529.0</v>
      </c>
      <c r="B32" s="1">
        <v>25.31</v>
      </c>
      <c r="C32" s="3">
        <v>-0.283</v>
      </c>
      <c r="D32" s="1">
        <v>-0.574</v>
      </c>
      <c r="E32" s="3">
        <v>-0.086</v>
      </c>
      <c r="F32" s="1">
        <v>100.46</v>
      </c>
      <c r="G32" s="4">
        <v>77.5</v>
      </c>
    </row>
    <row r="33">
      <c r="A33" s="2">
        <v>44536.0</v>
      </c>
      <c r="B33" s="1">
        <v>28.99</v>
      </c>
      <c r="C33" s="3">
        <v>-0.301</v>
      </c>
      <c r="D33" s="1">
        <v>-0.575</v>
      </c>
      <c r="E33" s="3">
        <v>-0.041</v>
      </c>
      <c r="F33" s="1">
        <v>100.748</v>
      </c>
      <c r="G33" s="4">
        <v>74.09</v>
      </c>
    </row>
    <row r="34">
      <c r="A34" s="5">
        <v>44543.0</v>
      </c>
      <c r="B34" s="1">
        <v>19.29</v>
      </c>
      <c r="C34" s="3">
        <v>-0.287</v>
      </c>
      <c r="D34" s="1">
        <v>-0.577</v>
      </c>
      <c r="E34" s="3">
        <v>-0.029</v>
      </c>
      <c r="F34" s="1">
        <v>101.06</v>
      </c>
      <c r="G34" s="4">
        <v>74.27</v>
      </c>
    </row>
    <row r="35">
      <c r="A35" s="5">
        <v>44550.0</v>
      </c>
      <c r="B35" s="1">
        <v>25.89</v>
      </c>
      <c r="C35" s="3">
        <v>-0.127</v>
      </c>
      <c r="D35" s="1">
        <v>-0.577</v>
      </c>
      <c r="E35" s="3">
        <v>0.12</v>
      </c>
      <c r="F35" s="1">
        <v>101.143</v>
      </c>
      <c r="G35" s="4">
        <v>75.72</v>
      </c>
    </row>
    <row r="36">
      <c r="A36" s="5">
        <v>44558.0</v>
      </c>
      <c r="B36" s="1">
        <v>17.78</v>
      </c>
      <c r="C36" s="3">
        <v>-0.074</v>
      </c>
      <c r="D36" s="1">
        <v>-0.571</v>
      </c>
      <c r="E36" s="3">
        <v>0.2</v>
      </c>
      <c r="F36" s="1">
        <v>101.196</v>
      </c>
      <c r="G36" s="4">
        <v>75.29</v>
      </c>
    </row>
    <row r="37">
      <c r="A37" s="2">
        <v>44565.0</v>
      </c>
      <c r="B37" s="1">
        <v>16.57</v>
      </c>
      <c r="C37" s="3">
        <v>-0.069</v>
      </c>
      <c r="D37" s="1">
        <v>-0.575</v>
      </c>
      <c r="E37" s="3">
        <v>0.285</v>
      </c>
      <c r="F37" s="1">
        <v>100.564</v>
      </c>
      <c r="G37" s="4">
        <v>74.9</v>
      </c>
    </row>
    <row r="38">
      <c r="A38" s="2">
        <v>44572.0</v>
      </c>
      <c r="B38" s="1">
        <v>19.62</v>
      </c>
      <c r="C38" s="3">
        <v>-0.12</v>
      </c>
      <c r="D38" s="1">
        <v>-0.578</v>
      </c>
      <c r="E38" s="3">
        <v>0.249</v>
      </c>
      <c r="F38" s="1">
        <v>99.715</v>
      </c>
      <c r="G38" s="4">
        <v>74.54</v>
      </c>
    </row>
    <row r="39">
      <c r="A39" s="2">
        <v>44580.0</v>
      </c>
      <c r="B39" s="1">
        <v>23.12</v>
      </c>
      <c r="C39" s="3">
        <v>-0.124</v>
      </c>
      <c r="D39" s="1">
        <v>-0.579</v>
      </c>
      <c r="E39" s="3">
        <v>0.232</v>
      </c>
      <c r="F39" s="1">
        <v>98.925</v>
      </c>
      <c r="G39" s="4">
        <v>75.24</v>
      </c>
    </row>
    <row r="40">
      <c r="A40" s="2">
        <v>44587.0</v>
      </c>
      <c r="B40" s="1">
        <v>29.35</v>
      </c>
      <c r="C40" s="3">
        <v>-0.128</v>
      </c>
      <c r="D40" s="1">
        <v>-0.579</v>
      </c>
      <c r="E40" s="3">
        <v>0.242</v>
      </c>
      <c r="F40" s="1">
        <v>98.746</v>
      </c>
      <c r="G40" s="4">
        <v>73.45</v>
      </c>
    </row>
    <row r="41">
      <c r="A41" s="2">
        <v>44594.0</v>
      </c>
      <c r="B41" s="1">
        <v>21.56</v>
      </c>
      <c r="C41" s="3">
        <v>0.303</v>
      </c>
      <c r="D41" s="1">
        <v>-0.578</v>
      </c>
      <c r="E41" s="3">
        <v>0.356</v>
      </c>
      <c r="F41" s="1">
        <v>98.431</v>
      </c>
      <c r="G41" s="4">
        <v>70.0</v>
      </c>
    </row>
    <row r="42">
      <c r="A42" s="2">
        <v>44601.0</v>
      </c>
      <c r="B42" s="1">
        <v>21.27</v>
      </c>
      <c r="C42" s="3">
        <v>0.326</v>
      </c>
      <c r="D42" s="1">
        <v>-0.578</v>
      </c>
      <c r="E42" s="3">
        <v>0.494</v>
      </c>
      <c r="F42" s="1">
        <v>97.063</v>
      </c>
      <c r="G42" s="4">
        <v>71.75</v>
      </c>
    </row>
    <row r="43">
      <c r="A43" s="2">
        <v>44608.0</v>
      </c>
      <c r="B43" s="1">
        <v>25.19</v>
      </c>
      <c r="C43" s="3">
        <v>0.109</v>
      </c>
      <c r="D43" s="1">
        <v>-0.574</v>
      </c>
      <c r="E43" s="3">
        <v>0.482</v>
      </c>
      <c r="F43" s="1">
        <v>95.668</v>
      </c>
      <c r="G43" s="4">
        <v>72.34</v>
      </c>
    </row>
    <row r="44">
      <c r="A44" s="2">
        <v>44616.0</v>
      </c>
      <c r="B44" s="1">
        <v>37.5</v>
      </c>
      <c r="C44" s="3">
        <v>0.103</v>
      </c>
      <c r="D44" s="1">
        <v>-0.576</v>
      </c>
      <c r="E44" s="3">
        <v>0.476</v>
      </c>
      <c r="F44" s="1">
        <v>95.663</v>
      </c>
      <c r="G44" s="4">
        <v>71.44</v>
      </c>
    </row>
    <row r="45">
      <c r="A45" s="2">
        <v>44623.0</v>
      </c>
      <c r="B45" s="1">
        <v>30.52</v>
      </c>
      <c r="C45" s="3">
        <v>-0.142</v>
      </c>
      <c r="D45" s="1">
        <v>-0.575</v>
      </c>
      <c r="E45" s="3">
        <v>0.141</v>
      </c>
      <c r="F45" s="1">
        <v>96.342</v>
      </c>
      <c r="G45" s="4">
        <v>70.89</v>
      </c>
    </row>
    <row r="46">
      <c r="A46" s="2">
        <v>44630.0</v>
      </c>
      <c r="B46" s="1">
        <v>33.03</v>
      </c>
      <c r="C46" s="3">
        <v>0.151</v>
      </c>
      <c r="D46" s="1">
        <v>-0.577</v>
      </c>
      <c r="E46" s="3">
        <v>0.443</v>
      </c>
      <c r="F46" s="1">
        <v>96.53</v>
      </c>
      <c r="G46" s="4">
        <v>68.54</v>
      </c>
    </row>
    <row r="47">
      <c r="A47" s="2">
        <v>44637.0</v>
      </c>
      <c r="B47" s="1">
        <v>26.51</v>
      </c>
      <c r="C47" s="3">
        <v>0.077</v>
      </c>
      <c r="D47" s="1">
        <v>-0.579</v>
      </c>
      <c r="E47" s="3">
        <v>0.561</v>
      </c>
      <c r="F47" s="1">
        <v>96.898</v>
      </c>
      <c r="G47" s="4">
        <v>66.21</v>
      </c>
    </row>
    <row r="48">
      <c r="A48" s="2">
        <v>44644.0</v>
      </c>
      <c r="B48" s="1">
        <v>23.61</v>
      </c>
      <c r="C48" s="3">
        <v>0.202</v>
      </c>
      <c r="D48" s="1">
        <v>-0.573</v>
      </c>
      <c r="E48" s="3">
        <v>0.695</v>
      </c>
      <c r="F48" s="1">
        <v>96.478</v>
      </c>
      <c r="G48" s="4">
        <v>69.75</v>
      </c>
    </row>
    <row r="49">
      <c r="A49" s="2">
        <v>44651.0</v>
      </c>
      <c r="B49" s="1">
        <v>19.68</v>
      </c>
      <c r="C49" s="3">
        <v>0.351</v>
      </c>
      <c r="D49" s="1">
        <v>-0.578</v>
      </c>
      <c r="E49" s="3">
        <v>0.688</v>
      </c>
      <c r="F49" s="1">
        <v>95.939</v>
      </c>
      <c r="G49" s="4">
        <v>70.25</v>
      </c>
    </row>
    <row r="50">
      <c r="A50" s="2">
        <v>44658.0</v>
      </c>
      <c r="B50" s="1">
        <v>21.97</v>
      </c>
      <c r="C50" s="3">
        <v>0.463</v>
      </c>
      <c r="D50" s="1">
        <v>-0.579</v>
      </c>
      <c r="E50" s="3">
        <v>0.817</v>
      </c>
      <c r="F50" s="1">
        <v>95.73</v>
      </c>
      <c r="G50" s="4">
        <v>69.29</v>
      </c>
    </row>
    <row r="51">
      <c r="A51" s="2">
        <v>44665.0</v>
      </c>
      <c r="B51" s="1">
        <v>21.72</v>
      </c>
      <c r="C51" s="3">
        <v>0.432</v>
      </c>
      <c r="D51" s="1">
        <v>-0.586</v>
      </c>
      <c r="E51" s="3">
        <v>1.013</v>
      </c>
      <c r="F51" s="1">
        <v>94.9</v>
      </c>
      <c r="G51" s="4">
        <v>66.86</v>
      </c>
    </row>
    <row r="52">
      <c r="A52" s="2">
        <v>44673.0</v>
      </c>
      <c r="B52" s="1">
        <v>22.71</v>
      </c>
      <c r="C52" s="3">
        <v>0.588</v>
      </c>
      <c r="D52" s="1">
        <v>-0.583</v>
      </c>
      <c r="E52" s="3">
        <v>1.061</v>
      </c>
      <c r="F52" s="1">
        <v>93.725</v>
      </c>
      <c r="G52" s="4">
        <v>65.9</v>
      </c>
    </row>
    <row r="53">
      <c r="A53" s="2">
        <v>44680.0</v>
      </c>
      <c r="B53" s="1">
        <v>28.97</v>
      </c>
      <c r="C53" s="3">
        <v>0.721</v>
      </c>
      <c r="D53" s="1">
        <v>-0.585</v>
      </c>
      <c r="E53" s="3">
        <v>1.087</v>
      </c>
      <c r="F53" s="1">
        <v>93.701</v>
      </c>
      <c r="G53" s="4">
        <v>64.33</v>
      </c>
    </row>
    <row r="54">
      <c r="A54" s="2">
        <v>44687.0</v>
      </c>
      <c r="B54" s="1">
        <v>32.23</v>
      </c>
      <c r="C54" s="3">
        <v>1.062</v>
      </c>
      <c r="D54" s="1">
        <v>-0.583</v>
      </c>
      <c r="E54" s="3">
        <v>1.242</v>
      </c>
      <c r="F54" s="1">
        <v>93.664</v>
      </c>
      <c r="G54" s="4">
        <v>64.54</v>
      </c>
    </row>
    <row r="55">
      <c r="A55" s="2">
        <v>44694.0</v>
      </c>
      <c r="B55" s="1">
        <v>31.09</v>
      </c>
      <c r="C55" s="3">
        <v>0.749</v>
      </c>
      <c r="D55" s="1">
        <v>-0.585</v>
      </c>
      <c r="E55" s="3">
        <v>1.128</v>
      </c>
      <c r="F55" s="1">
        <v>94.594</v>
      </c>
      <c r="G55" s="4">
        <v>63.75</v>
      </c>
    </row>
    <row r="56">
      <c r="A56" s="2">
        <v>44701.0</v>
      </c>
      <c r="B56" s="1">
        <v>28.78</v>
      </c>
      <c r="C56" s="3">
        <v>0.959</v>
      </c>
      <c r="D56" s="1">
        <v>-0.577</v>
      </c>
      <c r="E56" s="3">
        <v>1.11</v>
      </c>
      <c r="F56" s="1">
        <v>94.629</v>
      </c>
      <c r="G56" s="4">
        <v>63.11</v>
      </c>
    </row>
    <row r="57">
      <c r="A57" s="2">
        <v>44708.0</v>
      </c>
      <c r="B57" s="1">
        <v>27.5</v>
      </c>
      <c r="C57" s="3">
        <v>0.842</v>
      </c>
      <c r="D57" s="1">
        <v>-0.585</v>
      </c>
      <c r="E57" s="3">
        <v>1.241</v>
      </c>
      <c r="F57" s="1">
        <v>93.199</v>
      </c>
      <c r="G57" s="4">
        <v>63.83</v>
      </c>
    </row>
    <row r="58">
      <c r="A58" s="2">
        <v>44715.0</v>
      </c>
      <c r="B58" s="1">
        <v>24.91</v>
      </c>
      <c r="C58" s="3">
        <v>1.249</v>
      </c>
      <c r="D58" s="1">
        <v>-0.59</v>
      </c>
      <c r="E58" s="3">
        <v>1.514</v>
      </c>
      <c r="F58" s="1">
        <v>90.226</v>
      </c>
      <c r="G58" s="4">
        <v>65.32</v>
      </c>
    </row>
    <row r="59">
      <c r="A59" s="2">
        <v>44722.0</v>
      </c>
      <c r="B59" s="1">
        <v>26.26</v>
      </c>
      <c r="C59" s="3">
        <v>1.645</v>
      </c>
      <c r="D59" s="1">
        <v>-0.585</v>
      </c>
      <c r="E59" s="3">
        <v>1.65</v>
      </c>
      <c r="F59" s="1">
        <v>89.996</v>
      </c>
      <c r="G59" s="4">
        <v>64.72</v>
      </c>
    </row>
    <row r="60">
      <c r="A60" s="2">
        <v>44729.0</v>
      </c>
      <c r="B60" s="1">
        <v>32.84</v>
      </c>
      <c r="C60" s="3">
        <v>1.56</v>
      </c>
      <c r="D60" s="1">
        <v>-0.582</v>
      </c>
      <c r="E60" s="3">
        <v>1.859</v>
      </c>
      <c r="F60" s="1">
        <v>89.016</v>
      </c>
      <c r="G60" s="4">
        <v>62.12</v>
      </c>
    </row>
    <row r="61">
      <c r="A61" s="2">
        <v>44736.0</v>
      </c>
      <c r="B61" s="1">
        <v>29.07</v>
      </c>
      <c r="C61" s="3">
        <v>1.316</v>
      </c>
      <c r="D61" s="1">
        <v>-0.582</v>
      </c>
      <c r="E61" s="3">
        <v>1.688</v>
      </c>
      <c r="F61" s="1">
        <v>89.862</v>
      </c>
      <c r="G61" s="4">
        <v>58.97</v>
      </c>
    </row>
    <row r="62">
      <c r="A62" s="2">
        <v>44743.0</v>
      </c>
      <c r="B62" s="1">
        <v>29.53</v>
      </c>
      <c r="C62" s="3">
        <v>1.028</v>
      </c>
      <c r="D62" s="1">
        <v>-0.578</v>
      </c>
      <c r="E62" s="3">
        <v>1.56</v>
      </c>
      <c r="F62" s="1">
        <v>89.457</v>
      </c>
      <c r="G62" s="4">
        <v>60.58</v>
      </c>
    </row>
    <row r="63">
      <c r="A63" s="2">
        <v>44750.0</v>
      </c>
      <c r="B63" s="1">
        <v>26.41</v>
      </c>
      <c r="C63" s="3">
        <v>1.063</v>
      </c>
      <c r="D63" s="1">
        <v>-0.591</v>
      </c>
      <c r="E63" s="3">
        <v>1.605</v>
      </c>
      <c r="F63" s="1">
        <v>91.099</v>
      </c>
      <c r="G63" s="4">
        <v>59.56</v>
      </c>
    </row>
    <row r="64">
      <c r="A64" s="2">
        <v>44757.0</v>
      </c>
      <c r="B64" s="1">
        <v>26.72</v>
      </c>
      <c r="C64" s="3">
        <v>1.317</v>
      </c>
      <c r="D64" s="1">
        <v>-0.579</v>
      </c>
      <c r="E64" s="3">
        <v>1.358</v>
      </c>
      <c r="F64" s="1">
        <v>92.636</v>
      </c>
      <c r="G64" s="4">
        <v>60.96</v>
      </c>
    </row>
    <row r="65">
      <c r="A65" s="2">
        <v>44764.0</v>
      </c>
      <c r="B65" s="1">
        <v>23.3</v>
      </c>
      <c r="C65" s="3">
        <v>1.358</v>
      </c>
      <c r="D65" s="1">
        <v>-0.582</v>
      </c>
      <c r="E65" s="3">
        <v>1.289</v>
      </c>
      <c r="F65" s="1">
        <v>93.34</v>
      </c>
      <c r="G65" s="4">
        <v>59.78</v>
      </c>
    </row>
    <row r="66">
      <c r="A66" s="2">
        <v>44771.0</v>
      </c>
      <c r="B66" s="1">
        <v>22.13</v>
      </c>
      <c r="C66" s="3">
        <v>1.414</v>
      </c>
      <c r="D66" s="1">
        <v>-0.584</v>
      </c>
      <c r="E66" s="3">
        <v>1.172</v>
      </c>
      <c r="F66" s="1">
        <v>93.677</v>
      </c>
      <c r="G66" s="4">
        <v>62.17</v>
      </c>
    </row>
    <row r="67">
      <c r="A67" s="2">
        <v>44778.0</v>
      </c>
      <c r="B67" s="1">
        <v>21.5</v>
      </c>
      <c r="C67" s="3">
        <v>1.295</v>
      </c>
      <c r="D67" s="1">
        <v>-0.087</v>
      </c>
      <c r="E67" s="3">
        <v>1.24</v>
      </c>
      <c r="F67" s="1">
        <v>93.23</v>
      </c>
      <c r="G67" s="4">
        <v>62.38</v>
      </c>
    </row>
    <row r="68">
      <c r="A68" s="2">
        <v>44785.0</v>
      </c>
      <c r="B68" s="1">
        <v>20.34</v>
      </c>
      <c r="C68" s="3">
        <v>1.33</v>
      </c>
      <c r="D68" s="1">
        <v>-0.084</v>
      </c>
      <c r="E68" s="3">
        <v>1.415</v>
      </c>
      <c r="F68" s="1">
        <v>92.298</v>
      </c>
      <c r="G68" s="4">
        <v>63.97</v>
      </c>
    </row>
    <row r="69">
      <c r="A69" s="2">
        <v>44792.0</v>
      </c>
      <c r="B69" s="1">
        <v>20.16</v>
      </c>
      <c r="C69" s="3">
        <v>1.751</v>
      </c>
      <c r="D69" s="1">
        <v>-0.085</v>
      </c>
      <c r="E69" s="3">
        <v>1.524</v>
      </c>
      <c r="F69" s="1">
        <v>90.361</v>
      </c>
      <c r="G69" s="4">
        <v>63.04</v>
      </c>
    </row>
    <row r="70">
      <c r="A70" s="2">
        <v>44799.0</v>
      </c>
      <c r="B70" s="1">
        <v>22.07</v>
      </c>
      <c r="C70" s="3">
        <v>1.768</v>
      </c>
      <c r="D70" s="1">
        <v>-0.084</v>
      </c>
      <c r="E70" s="3">
        <v>1.686</v>
      </c>
      <c r="F70" s="1">
        <v>90.885</v>
      </c>
      <c r="G70" s="4">
        <v>62.22</v>
      </c>
    </row>
    <row r="71">
      <c r="A71" s="2">
        <v>44806.0</v>
      </c>
      <c r="B71" s="1">
        <v>25.51</v>
      </c>
      <c r="C71" s="3">
        <v>2.138</v>
      </c>
      <c r="D71" s="1">
        <v>-0.08</v>
      </c>
      <c r="E71" s="3">
        <v>1.813</v>
      </c>
      <c r="F71" s="1">
        <v>90.163</v>
      </c>
      <c r="G71" s="4">
        <v>60.22</v>
      </c>
    </row>
    <row r="72">
      <c r="A72" s="2">
        <v>44813.0</v>
      </c>
      <c r="B72" s="1">
        <v>23.49</v>
      </c>
      <c r="C72" s="3">
        <v>2.432</v>
      </c>
      <c r="D72" s="1">
        <v>-0.084</v>
      </c>
      <c r="E72" s="3">
        <v>1.763</v>
      </c>
      <c r="F72" s="1">
        <v>88.39</v>
      </c>
      <c r="G72" s="4">
        <v>60.05</v>
      </c>
    </row>
    <row r="73">
      <c r="A73" s="2">
        <v>44820.0</v>
      </c>
      <c r="B73" s="1">
        <v>27.47</v>
      </c>
      <c r="C73" s="3">
        <v>2.624</v>
      </c>
      <c r="D73" s="1">
        <v>-0.086</v>
      </c>
      <c r="E73" s="3">
        <v>1.877</v>
      </c>
      <c r="F73" s="1">
        <v>86.241</v>
      </c>
      <c r="G73" s="4">
        <v>58.53</v>
      </c>
    </row>
    <row r="74">
      <c r="A74" s="2">
        <v>44827.0</v>
      </c>
      <c r="B74" s="1">
        <v>27.68</v>
      </c>
      <c r="C74" s="3">
        <v>3.034</v>
      </c>
      <c r="D74" s="1">
        <v>0.66</v>
      </c>
      <c r="E74" s="3">
        <v>2.095</v>
      </c>
      <c r="F74" s="1">
        <v>87.111</v>
      </c>
      <c r="G74" s="4">
        <v>56.78</v>
      </c>
    </row>
    <row r="75">
      <c r="A75" s="2">
        <v>44834.0</v>
      </c>
      <c r="B75" s="1">
        <v>31.61</v>
      </c>
      <c r="C75" s="3">
        <v>2.866</v>
      </c>
      <c r="D75" s="1">
        <v>0.661</v>
      </c>
      <c r="E75" s="3">
        <v>2.138</v>
      </c>
      <c r="F75" s="1">
        <v>86.389</v>
      </c>
      <c r="G75" s="4">
        <v>55.81</v>
      </c>
    </row>
    <row r="76">
      <c r="A76" s="2">
        <v>44841.0</v>
      </c>
      <c r="B76" s="1">
        <v>30.37</v>
      </c>
      <c r="C76" s="3">
        <v>3.1</v>
      </c>
      <c r="D76" s="1">
        <v>0.661</v>
      </c>
      <c r="E76" s="3">
        <v>2.412</v>
      </c>
      <c r="F76" s="1">
        <v>86.4</v>
      </c>
      <c r="G76" s="4">
        <v>56.79</v>
      </c>
    </row>
    <row r="77">
      <c r="A77" s="5">
        <v>44848.0</v>
      </c>
      <c r="B77" s="1">
        <v>31.89</v>
      </c>
      <c r="C77" s="3">
        <v>2.997</v>
      </c>
      <c r="D77" s="1">
        <v>0.655</v>
      </c>
      <c r="E77" s="3">
        <v>2.46</v>
      </c>
      <c r="F77" s="1">
        <v>88.224</v>
      </c>
      <c r="G77" s="4">
        <v>55.32</v>
      </c>
    </row>
    <row r="78">
      <c r="A78" s="5">
        <v>44855.0</v>
      </c>
      <c r="B78" s="1">
        <v>30.21</v>
      </c>
      <c r="C78" s="3">
        <v>3.051</v>
      </c>
      <c r="D78" s="1">
        <v>0.658</v>
      </c>
      <c r="E78" s="3">
        <v>2.066</v>
      </c>
      <c r="F78" s="1">
        <v>88.652</v>
      </c>
      <c r="G78" s="4">
        <v>55.31</v>
      </c>
    </row>
    <row r="79">
      <c r="A79" s="5">
        <v>44862.0</v>
      </c>
      <c r="B79" s="1">
        <v>27.43</v>
      </c>
      <c r="C79" s="3">
        <v>2.627</v>
      </c>
      <c r="D79" s="1">
        <v>0.656</v>
      </c>
      <c r="E79" s="3">
        <v>2.228</v>
      </c>
      <c r="F79" s="1">
        <v>90.514</v>
      </c>
      <c r="G79" s="4">
        <v>56.69</v>
      </c>
    </row>
    <row r="80">
      <c r="A80" s="2">
        <v>44869.0</v>
      </c>
      <c r="B80" s="1">
        <v>25.63</v>
      </c>
      <c r="C80" s="3">
        <v>2.888</v>
      </c>
      <c r="D80" s="1">
        <v>0.657</v>
      </c>
      <c r="E80" s="3">
        <v>2.119</v>
      </c>
      <c r="F80" s="1">
        <v>90.961</v>
      </c>
      <c r="G80" s="4">
        <v>57.34</v>
      </c>
    </row>
    <row r="81">
      <c r="A81" s="5">
        <v>44876.0</v>
      </c>
      <c r="B81" s="1">
        <v>23.89</v>
      </c>
      <c r="C81" s="3">
        <v>2.831</v>
      </c>
      <c r="D81" s="1">
        <v>1.403</v>
      </c>
      <c r="E81" s="3">
        <v>1.937</v>
      </c>
      <c r="F81" s="1">
        <v>92.187</v>
      </c>
      <c r="G81" s="4">
        <v>61.94</v>
      </c>
    </row>
    <row r="82">
      <c r="A82" s="5">
        <v>44883.0</v>
      </c>
      <c r="B82" s="1">
        <v>24.03</v>
      </c>
      <c r="C82" s="3">
        <v>2.643</v>
      </c>
      <c r="D82" s="1">
        <v>1.402</v>
      </c>
      <c r="E82" s="3">
        <v>1.795</v>
      </c>
      <c r="F82" s="1">
        <v>92.473</v>
      </c>
      <c r="G82" s="4">
        <v>61.68</v>
      </c>
    </row>
    <row r="83">
      <c r="A83" s="5">
        <v>44890.0</v>
      </c>
      <c r="B83" s="1">
        <v>20.61</v>
      </c>
      <c r="C83" s="3">
        <v>2.712</v>
      </c>
      <c r="D83" s="1">
        <v>1.402</v>
      </c>
      <c r="E83" s="3">
        <v>1.622</v>
      </c>
      <c r="F83" s="1">
        <v>92.326</v>
      </c>
      <c r="G83" s="4">
        <v>63.5</v>
      </c>
    </row>
    <row r="84">
      <c r="A84" s="2">
        <v>44897.0</v>
      </c>
      <c r="B84" s="1">
        <v>20.42</v>
      </c>
      <c r="C84" s="3">
        <v>2.621</v>
      </c>
      <c r="D84" s="1">
        <v>1.405</v>
      </c>
      <c r="E84" s="3">
        <v>1.664</v>
      </c>
      <c r="F84" s="1">
        <v>91.605</v>
      </c>
      <c r="G84" s="4">
        <v>63.21</v>
      </c>
    </row>
    <row r="85">
      <c r="A85" s="2">
        <v>44904.0</v>
      </c>
      <c r="B85" s="1">
        <v>22.55</v>
      </c>
      <c r="C85" s="3">
        <v>2.626</v>
      </c>
      <c r="D85" s="1">
        <v>1.4</v>
      </c>
      <c r="E85" s="3">
        <v>1.921</v>
      </c>
      <c r="F85" s="1">
        <v>91.367</v>
      </c>
      <c r="G85" s="4">
        <v>63.1</v>
      </c>
    </row>
    <row r="86">
      <c r="A86" s="5">
        <v>44911.0</v>
      </c>
      <c r="B86" s="1">
        <v>23.26</v>
      </c>
      <c r="C86" s="3">
        <v>3.118</v>
      </c>
      <c r="D86" s="1">
        <v>1.4</v>
      </c>
      <c r="E86" s="3">
        <v>2.178</v>
      </c>
      <c r="F86" s="1">
        <v>91.118</v>
      </c>
      <c r="G86" s="4">
        <v>61.83</v>
      </c>
    </row>
    <row r="87">
      <c r="A87" s="5">
        <v>44918.0</v>
      </c>
      <c r="B87" s="1">
        <v>22.17</v>
      </c>
      <c r="C87" s="3">
        <v>3.162</v>
      </c>
      <c r="D87" s="1">
        <v>1.403</v>
      </c>
      <c r="E87" s="3">
        <v>2.455</v>
      </c>
      <c r="F87" s="1">
        <v>92.296</v>
      </c>
      <c r="G87" s="4">
        <v>62.29</v>
      </c>
    </row>
    <row r="88">
      <c r="A88" s="2">
        <v>44929.0</v>
      </c>
      <c r="B88" s="1">
        <v>23.09</v>
      </c>
      <c r="C88" s="3">
        <v>3.278</v>
      </c>
      <c r="D88" s="1">
        <v>1.904</v>
      </c>
      <c r="E88" s="3">
        <v>2.074</v>
      </c>
      <c r="F88" s="1">
        <v>94.015</v>
      </c>
      <c r="G88" s="4">
        <v>62.08</v>
      </c>
    </row>
    <row r="89">
      <c r="A89" s="2">
        <v>44936.0</v>
      </c>
      <c r="B89" s="1">
        <v>22.22</v>
      </c>
      <c r="C89" s="3">
        <v>3.075</v>
      </c>
      <c r="D89" s="1">
        <v>1.89</v>
      </c>
      <c r="E89" s="3">
        <v>2.039</v>
      </c>
      <c r="F89" s="1">
        <v>94.182</v>
      </c>
      <c r="G89" s="4">
        <v>61.85</v>
      </c>
    </row>
    <row r="90">
      <c r="A90" s="2">
        <v>44943.0</v>
      </c>
      <c r="B90" s="1">
        <v>19.89</v>
      </c>
      <c r="C90" s="3">
        <v>3.005</v>
      </c>
      <c r="D90" s="1">
        <v>1.898</v>
      </c>
      <c r="E90" s="3">
        <v>2.055</v>
      </c>
      <c r="F90" s="1">
        <v>94.555</v>
      </c>
      <c r="G90" s="4">
        <v>64.44</v>
      </c>
    </row>
    <row r="91">
      <c r="A91" s="2">
        <v>44950.0</v>
      </c>
      <c r="B91" s="1">
        <v>19.89</v>
      </c>
      <c r="C91" s="3">
        <v>3.052</v>
      </c>
      <c r="D91" s="1">
        <v>1.901</v>
      </c>
      <c r="E91" s="3">
        <v>2.2</v>
      </c>
      <c r="F91" s="1">
        <v>95.416</v>
      </c>
      <c r="G91" s="4">
        <v>65.51</v>
      </c>
    </row>
    <row r="92">
      <c r="A92" s="2">
        <v>44957.0</v>
      </c>
      <c r="B92" s="1">
        <v>20.12</v>
      </c>
      <c r="C92" s="3">
        <v>3.181</v>
      </c>
      <c r="D92" s="1">
        <v>1.903</v>
      </c>
      <c r="E92" s="3">
        <v>2.237</v>
      </c>
      <c r="F92" s="1">
        <v>94.989</v>
      </c>
      <c r="G92" s="4">
        <v>66.75</v>
      </c>
    </row>
    <row r="93">
      <c r="A93" s="2">
        <v>44964.0</v>
      </c>
      <c r="B93" s="1">
        <v>19.54</v>
      </c>
      <c r="C93" s="3">
        <v>3.032</v>
      </c>
      <c r="D93" s="1">
        <v>1.906</v>
      </c>
      <c r="E93" s="3">
        <v>2.33</v>
      </c>
      <c r="F93" s="1">
        <v>94.544</v>
      </c>
      <c r="G93" s="4">
        <v>66.26</v>
      </c>
    </row>
    <row r="94">
      <c r="A94" s="2">
        <v>44971.0</v>
      </c>
      <c r="B94" s="1">
        <v>20.72</v>
      </c>
      <c r="C94" s="3">
        <v>3.273</v>
      </c>
      <c r="D94" s="1">
        <v>1.898</v>
      </c>
      <c r="E94" s="3">
        <v>2.405</v>
      </c>
      <c r="F94" s="1">
        <v>94.401</v>
      </c>
      <c r="G94" s="4">
        <v>66.0</v>
      </c>
    </row>
    <row r="95">
      <c r="A95" s="2">
        <v>44978.0</v>
      </c>
      <c r="B95" s="1">
        <v>21.8</v>
      </c>
      <c r="C95" s="3">
        <v>3.423</v>
      </c>
      <c r="D95" s="1">
        <v>2.401</v>
      </c>
      <c r="E95" s="3">
        <v>2.459</v>
      </c>
      <c r="F95" s="1">
        <v>94.222</v>
      </c>
      <c r="G95" s="4">
        <v>64.63</v>
      </c>
    </row>
    <row r="96">
      <c r="A96" s="2">
        <v>44985.0</v>
      </c>
      <c r="B96" s="1">
        <v>21.3</v>
      </c>
      <c r="C96" s="3">
        <v>3.664</v>
      </c>
      <c r="D96" s="1">
        <v>2.398</v>
      </c>
      <c r="E96" s="3">
        <v>2.652</v>
      </c>
      <c r="F96" s="1">
        <v>93.893</v>
      </c>
      <c r="G96" s="4">
        <v>63.25</v>
      </c>
    </row>
    <row r="97">
      <c r="A97" s="2">
        <v>44992.0</v>
      </c>
      <c r="B97" s="1">
        <v>18.64</v>
      </c>
      <c r="C97" s="3">
        <v>3.862</v>
      </c>
      <c r="D97" s="1">
        <v>2.398</v>
      </c>
      <c r="E97" s="3">
        <v>2.456</v>
      </c>
      <c r="F97" s="1">
        <v>91.829</v>
      </c>
      <c r="G97" s="4">
        <v>64.92</v>
      </c>
    </row>
    <row r="98">
      <c r="A98" s="2">
        <v>44999.0</v>
      </c>
      <c r="B98" s="1">
        <v>26.85</v>
      </c>
      <c r="C98" s="3">
        <v>3.654</v>
      </c>
      <c r="D98" s="1">
        <v>2.4</v>
      </c>
      <c r="E98" s="3">
        <v>2.165</v>
      </c>
      <c r="F98" s="1">
        <v>91.023</v>
      </c>
      <c r="G98" s="4">
        <v>65.22</v>
      </c>
    </row>
    <row r="99">
      <c r="A99" s="2">
        <v>45006.0</v>
      </c>
      <c r="B99" s="1">
        <v>24.16</v>
      </c>
      <c r="C99" s="3">
        <v>3.041</v>
      </c>
      <c r="D99" s="1">
        <v>2.403</v>
      </c>
      <c r="E99" s="3">
        <v>2.203</v>
      </c>
      <c r="F99" s="1">
        <v>92.462</v>
      </c>
      <c r="G99" s="4">
        <v>63.58</v>
      </c>
    </row>
    <row r="100">
      <c r="A100" s="2">
        <v>45013.0</v>
      </c>
      <c r="B100" s="1">
        <v>20.53</v>
      </c>
      <c r="C100" s="3">
        <v>2.925</v>
      </c>
      <c r="D100" s="1">
        <v>2.402</v>
      </c>
      <c r="E100" s="3">
        <v>2.364</v>
      </c>
      <c r="F100" s="1">
        <v>93.053</v>
      </c>
      <c r="G100" s="4">
        <v>64.77</v>
      </c>
    </row>
    <row r="101">
      <c r="A101" s="2">
        <v>45020.0</v>
      </c>
      <c r="B101" s="1">
        <v>18.79</v>
      </c>
      <c r="C101" s="3">
        <v>3.182</v>
      </c>
      <c r="D101" s="1">
        <v>2.899</v>
      </c>
      <c r="E101" s="3">
        <v>2.279</v>
      </c>
      <c r="F101" s="1">
        <v>93.401</v>
      </c>
      <c r="G101" s="4">
        <v>66.71</v>
      </c>
    </row>
    <row r="102">
      <c r="A102" s="2">
        <v>45028.0</v>
      </c>
      <c r="B102" s="1">
        <v>19.38</v>
      </c>
      <c r="C102" s="3">
        <v>3.082</v>
      </c>
      <c r="D102" s="1">
        <v>2.884</v>
      </c>
      <c r="E102" s="3">
        <v>2.497</v>
      </c>
      <c r="F102" s="1">
        <v>93.425</v>
      </c>
      <c r="G102" s="4">
        <v>65.64</v>
      </c>
    </row>
    <row r="103">
      <c r="A103" s="2">
        <v>45035.0</v>
      </c>
      <c r="B103" s="1">
        <v>17.3</v>
      </c>
      <c r="C103" s="3">
        <v>3.382</v>
      </c>
      <c r="D103" s="1">
        <v>2.897</v>
      </c>
      <c r="E103" s="3">
        <v>2.549</v>
      </c>
      <c r="F103" s="1">
        <v>93.263</v>
      </c>
      <c r="G103" s="4">
        <v>66.48</v>
      </c>
    </row>
    <row r="104">
      <c r="A104" s="2">
        <v>45042.0</v>
      </c>
      <c r="B104" s="1">
        <v>18.66</v>
      </c>
      <c r="C104" s="3">
        <v>3.485</v>
      </c>
      <c r="D104" s="1">
        <v>2.901</v>
      </c>
      <c r="E104" s="3">
        <v>2.418</v>
      </c>
      <c r="F104" s="1">
        <v>93.145</v>
      </c>
      <c r="G104" s="4">
        <v>66.57</v>
      </c>
    </row>
    <row r="105">
      <c r="A105" s="2">
        <v>45049.0</v>
      </c>
      <c r="B105" s="1">
        <v>17.82</v>
      </c>
      <c r="C105" s="3">
        <v>3.471</v>
      </c>
      <c r="D105" s="1">
        <v>2.901</v>
      </c>
      <c r="E105" s="3">
        <v>2.464</v>
      </c>
      <c r="F105" s="1">
        <v>93.423</v>
      </c>
      <c r="G105" s="4">
        <v>67.53</v>
      </c>
    </row>
    <row r="106">
      <c r="A106" s="2">
        <v>45056.0</v>
      </c>
      <c r="B106" s="1">
        <v>17.58</v>
      </c>
      <c r="C106" s="3">
        <v>3.278</v>
      </c>
      <c r="D106" s="1">
        <v>2.896</v>
      </c>
      <c r="E106" s="3">
        <v>2.454</v>
      </c>
      <c r="F106" s="1">
        <v>93.833</v>
      </c>
      <c r="G106" s="4">
        <v>68.43</v>
      </c>
    </row>
    <row r="107">
      <c r="A107" s="2">
        <v>45063.0</v>
      </c>
      <c r="B107" s="1">
        <v>17.96</v>
      </c>
      <c r="C107" s="3">
        <v>3.257</v>
      </c>
      <c r="D107" s="1">
        <v>3.145</v>
      </c>
      <c r="E107" s="3">
        <v>2.6</v>
      </c>
      <c r="F107" s="1">
        <v>93.25</v>
      </c>
      <c r="G107" s="4">
        <v>69.21</v>
      </c>
    </row>
    <row r="108">
      <c r="A108" s="2">
        <v>45070.0</v>
      </c>
      <c r="B108" s="1">
        <v>18.8</v>
      </c>
      <c r="C108" s="3">
        <v>3.434</v>
      </c>
      <c r="D108" s="1">
        <v>3.151</v>
      </c>
      <c r="E108" s="3">
        <v>2.675</v>
      </c>
      <c r="F108" s="1">
        <v>93.908</v>
      </c>
      <c r="G108" s="4">
        <v>68.56</v>
      </c>
    </row>
    <row r="109">
      <c r="A109" s="2">
        <v>45077.0</v>
      </c>
      <c r="B109" s="1">
        <v>18.04</v>
      </c>
      <c r="C109" s="3">
        <v>3.549</v>
      </c>
      <c r="D109" s="1">
        <v>3.148</v>
      </c>
      <c r="E109" s="3">
        <v>2.485</v>
      </c>
      <c r="F109" s="1">
        <v>94.3</v>
      </c>
      <c r="G109" s="4">
        <v>70.47</v>
      </c>
    </row>
    <row r="110">
      <c r="A110" s="2">
        <v>45084.0</v>
      </c>
      <c r="B110" s="1">
        <v>14.14</v>
      </c>
      <c r="C110" s="3">
        <v>3.346</v>
      </c>
      <c r="D110" s="1">
        <v>3.144</v>
      </c>
      <c r="E110" s="3">
        <v>2.518</v>
      </c>
      <c r="F110" s="1">
        <v>94.562</v>
      </c>
      <c r="G110" s="4">
        <v>71.4</v>
      </c>
    </row>
    <row r="111">
      <c r="A111" s="2">
        <v>45091.0</v>
      </c>
      <c r="B111" s="1">
        <v>14.48</v>
      </c>
      <c r="C111" s="3">
        <v>3.518</v>
      </c>
      <c r="D111" s="1">
        <v>3.144</v>
      </c>
      <c r="E111" s="3">
        <v>2.53</v>
      </c>
      <c r="F111" s="1">
        <v>93.748</v>
      </c>
      <c r="G111" s="4">
        <v>72.68</v>
      </c>
    </row>
    <row r="112">
      <c r="A112" s="2">
        <v>45098.0</v>
      </c>
      <c r="B112" s="1">
        <v>13.88</v>
      </c>
      <c r="C112" s="3">
        <v>3.676</v>
      </c>
      <c r="D112" s="1">
        <v>3.15</v>
      </c>
      <c r="E112" s="3">
        <v>2.405</v>
      </c>
      <c r="F112" s="1">
        <v>94.169</v>
      </c>
      <c r="G112" s="4">
        <v>69.67</v>
      </c>
    </row>
    <row r="113">
      <c r="A113" s="2">
        <v>45105.0</v>
      </c>
      <c r="B113" s="1">
        <v>13.9</v>
      </c>
      <c r="C113" s="3">
        <v>3.771</v>
      </c>
      <c r="D113" s="1">
        <v>3.395</v>
      </c>
      <c r="E113" s="3">
        <v>2.387</v>
      </c>
      <c r="F113" s="1">
        <v>93.363</v>
      </c>
      <c r="G113" s="4">
        <v>70.99</v>
      </c>
    </row>
    <row r="114">
      <c r="A114" s="2">
        <v>45112.0</v>
      </c>
      <c r="B114" s="1">
        <v>14.19</v>
      </c>
      <c r="C114" s="3">
        <v>3.924</v>
      </c>
      <c r="D114" s="1">
        <v>3.4</v>
      </c>
      <c r="E114" s="3">
        <v>2.644</v>
      </c>
      <c r="F114" s="1">
        <v>94.455</v>
      </c>
      <c r="G114" s="4">
        <v>70.52</v>
      </c>
    </row>
    <row r="115">
      <c r="A115" s="2">
        <v>45119.0</v>
      </c>
      <c r="B115" s="1">
        <v>14.82</v>
      </c>
      <c r="C115" s="3">
        <v>3.923</v>
      </c>
      <c r="D115" s="1">
        <v>3.404</v>
      </c>
      <c r="E115" s="3">
        <v>2.532</v>
      </c>
      <c r="F115" s="1">
        <v>94.949</v>
      </c>
      <c r="G115" s="4">
        <v>71.74</v>
      </c>
    </row>
    <row r="116">
      <c r="A116" s="2">
        <v>45126.0</v>
      </c>
      <c r="B116" s="1">
        <v>13.32</v>
      </c>
      <c r="C116" s="3">
        <v>3.851</v>
      </c>
      <c r="D116" s="1">
        <v>3.404</v>
      </c>
      <c r="E116" s="3">
        <v>2.478</v>
      </c>
      <c r="F116" s="1">
        <v>95.484</v>
      </c>
      <c r="G116" s="4">
        <v>71.62</v>
      </c>
    </row>
    <row r="117">
      <c r="A117" s="2">
        <v>45133.0</v>
      </c>
      <c r="B117" s="1">
        <v>13.86</v>
      </c>
      <c r="C117" s="3">
        <v>3.76</v>
      </c>
      <c r="D117" s="1">
        <v>3.4</v>
      </c>
      <c r="E117" s="3">
        <v>2.563</v>
      </c>
      <c r="F117" s="1">
        <v>94.792</v>
      </c>
      <c r="G117" s="4">
        <v>73.49</v>
      </c>
    </row>
    <row r="118">
      <c r="A118" s="2">
        <v>45140.0</v>
      </c>
      <c r="B118" s="1">
        <v>15.7</v>
      </c>
      <c r="C118" s="3">
        <v>3.697</v>
      </c>
      <c r="D118" s="1">
        <v>3.402</v>
      </c>
      <c r="E118" s="3">
        <v>2.641</v>
      </c>
      <c r="F118" s="1">
        <v>95.111</v>
      </c>
      <c r="G118" s="4">
        <v>71.21</v>
      </c>
    </row>
    <row r="119">
      <c r="A119" s="2">
        <v>45147.0</v>
      </c>
      <c r="B119" s="1">
        <v>15.81</v>
      </c>
      <c r="C119" s="3">
        <v>3.724</v>
      </c>
      <c r="D119" s="1">
        <v>3.655</v>
      </c>
      <c r="E119" s="3">
        <v>2.7</v>
      </c>
      <c r="F119" s="1">
        <v>94.396</v>
      </c>
      <c r="G119" s="4">
        <v>70.39</v>
      </c>
    </row>
    <row r="120">
      <c r="A120" s="2">
        <v>45154.0</v>
      </c>
      <c r="B120" s="1">
        <v>16.54</v>
      </c>
      <c r="C120" s="3">
        <v>3.696</v>
      </c>
      <c r="D120" s="1">
        <v>3.649</v>
      </c>
      <c r="E120" s="3">
        <v>2.725</v>
      </c>
      <c r="F120" s="1">
        <v>94.77</v>
      </c>
      <c r="G120" s="4">
        <v>67.99</v>
      </c>
    </row>
    <row r="121">
      <c r="A121" s="2">
        <v>45161.0</v>
      </c>
      <c r="B121" s="1">
        <v>16.64</v>
      </c>
      <c r="C121" s="3">
        <v>3.762</v>
      </c>
      <c r="D121" s="1">
        <v>3.654</v>
      </c>
      <c r="E121" s="3">
        <v>2.654</v>
      </c>
      <c r="F121" s="1">
        <v>95.262</v>
      </c>
      <c r="G121" s="4">
        <v>68.63</v>
      </c>
    </row>
    <row r="122">
      <c r="A122" s="2">
        <v>45168.0</v>
      </c>
      <c r="B122" s="1">
        <v>14.53</v>
      </c>
      <c r="C122" s="3">
        <v>3.745</v>
      </c>
      <c r="D122" s="1">
        <v>3.652</v>
      </c>
      <c r="E122" s="3">
        <v>2.678</v>
      </c>
      <c r="F122" s="1">
        <v>94.957</v>
      </c>
      <c r="G122" s="4">
        <v>70.98</v>
      </c>
    </row>
    <row r="123">
      <c r="A123" s="2">
        <v>45175.0</v>
      </c>
      <c r="B123" s="1">
        <v>14.27</v>
      </c>
      <c r="C123" s="3">
        <v>3.694</v>
      </c>
      <c r="D123" s="1">
        <v>3.652</v>
      </c>
      <c r="E123" s="3">
        <v>2.722</v>
      </c>
      <c r="F123" s="1">
        <v>95.327</v>
      </c>
      <c r="G123" s="4">
        <v>70.85</v>
      </c>
    </row>
    <row r="124">
      <c r="A124" s="2">
        <v>45182.0</v>
      </c>
      <c r="B124" s="1">
        <v>14.42</v>
      </c>
      <c r="C124" s="3">
        <v>3.771</v>
      </c>
      <c r="D124" s="1">
        <v>3.652</v>
      </c>
      <c r="E124" s="3">
        <v>2.81</v>
      </c>
      <c r="F124" s="1">
        <v>95.397</v>
      </c>
      <c r="G124" s="4">
        <v>72.53</v>
      </c>
    </row>
    <row r="125">
      <c r="A125" s="2">
        <v>45189.0</v>
      </c>
      <c r="B125" s="1">
        <v>14.18</v>
      </c>
      <c r="C125" s="3">
        <v>3.897</v>
      </c>
      <c r="D125" s="1">
        <v>3.652</v>
      </c>
      <c r="E125" s="3">
        <v>2.888</v>
      </c>
      <c r="F125" s="1">
        <v>94.412</v>
      </c>
      <c r="G125" s="4">
        <v>71.24</v>
      </c>
    </row>
    <row r="126">
      <c r="A126" s="2">
        <v>45196.0</v>
      </c>
      <c r="B126" s="1">
        <v>18.29</v>
      </c>
      <c r="C126" s="3">
        <v>3.963</v>
      </c>
      <c r="D126" s="1">
        <v>3.901</v>
      </c>
      <c r="E126" s="3">
        <v>3.035</v>
      </c>
      <c r="F126" s="1">
        <v>93.772</v>
      </c>
      <c r="G126" s="4">
        <v>69.4</v>
      </c>
    </row>
    <row r="127">
      <c r="A127" s="2">
        <v>45203.0</v>
      </c>
      <c r="B127" s="1">
        <v>20.72</v>
      </c>
      <c r="C127" s="3">
        <v>4.019</v>
      </c>
      <c r="D127" s="1">
        <v>3.905</v>
      </c>
      <c r="E127" s="3">
        <v>3.111</v>
      </c>
      <c r="F127" s="1">
        <v>94.795</v>
      </c>
      <c r="G127" s="4">
        <v>67.81</v>
      </c>
    </row>
    <row r="128">
      <c r="A128" s="5">
        <v>45210.0</v>
      </c>
      <c r="B128" s="1">
        <v>16.95</v>
      </c>
      <c r="C128" s="3">
        <v>4.028</v>
      </c>
      <c r="D128" s="1">
        <v>3.901</v>
      </c>
      <c r="E128" s="3">
        <v>2.929</v>
      </c>
      <c r="F128" s="1">
        <v>93.413</v>
      </c>
      <c r="G128" s="4">
        <v>68.34</v>
      </c>
    </row>
    <row r="129">
      <c r="A129" s="5">
        <v>45217.0</v>
      </c>
      <c r="B129" s="1">
        <v>18.36</v>
      </c>
      <c r="C129" s="3">
        <v>4.053</v>
      </c>
      <c r="D129" s="1">
        <v>3.901</v>
      </c>
      <c r="E129" s="3">
        <v>3.095</v>
      </c>
      <c r="F129" s="1">
        <v>93.255</v>
      </c>
      <c r="G129" s="4">
        <v>66.78</v>
      </c>
    </row>
    <row r="130">
      <c r="A130" s="5">
        <v>45224.0</v>
      </c>
      <c r="B130" s="1">
        <v>19.39</v>
      </c>
      <c r="C130" s="3">
        <v>3.925</v>
      </c>
      <c r="D130" s="1">
        <v>3.903</v>
      </c>
      <c r="E130" s="3">
        <v>3.126</v>
      </c>
      <c r="F130" s="1">
        <v>93.722</v>
      </c>
      <c r="G130" s="4">
        <v>66.52</v>
      </c>
    </row>
    <row r="131">
      <c r="A131" s="2">
        <v>45231.0</v>
      </c>
      <c r="B131" s="1">
        <v>18.02</v>
      </c>
      <c r="C131" s="3">
        <v>3.704</v>
      </c>
      <c r="D131" s="1">
        <v>3.9</v>
      </c>
      <c r="E131" s="3">
        <v>2.914</v>
      </c>
      <c r="F131" s="1">
        <v>95.128</v>
      </c>
      <c r="G131" s="4">
        <v>71.27</v>
      </c>
    </row>
    <row r="132">
      <c r="A132" s="2">
        <v>45238.0</v>
      </c>
      <c r="B132" s="1">
        <v>14.91</v>
      </c>
      <c r="C132" s="3">
        <v>3.786</v>
      </c>
      <c r="D132" s="1">
        <v>3.9</v>
      </c>
      <c r="E132" s="3">
        <v>2.92</v>
      </c>
      <c r="F132" s="1">
        <v>96.003</v>
      </c>
      <c r="G132" s="4">
        <v>68.94</v>
      </c>
    </row>
    <row r="133">
      <c r="A133" s="5">
        <v>45245.0</v>
      </c>
      <c r="B133" s="1">
        <v>14.21</v>
      </c>
      <c r="C133" s="3">
        <v>3.599</v>
      </c>
      <c r="D133" s="1">
        <v>3.902</v>
      </c>
      <c r="E133" s="3">
        <v>2.803</v>
      </c>
      <c r="F133" s="1">
        <v>96.46</v>
      </c>
      <c r="G133" s="4">
        <v>71.36</v>
      </c>
    </row>
    <row r="134">
      <c r="A134" s="5">
        <v>45252.0</v>
      </c>
      <c r="B134" s="1">
        <v>13.08</v>
      </c>
      <c r="C134" s="3">
        <v>3.674</v>
      </c>
      <c r="D134" s="1">
        <v>3.899</v>
      </c>
      <c r="E134" s="3">
        <v>2.818</v>
      </c>
      <c r="F134" s="1">
        <v>97.43</v>
      </c>
      <c r="G134" s="4">
        <v>71.76</v>
      </c>
    </row>
    <row r="135">
      <c r="A135" s="5">
        <v>45259.0</v>
      </c>
      <c r="B135" s="1">
        <v>12.71</v>
      </c>
      <c r="C135" s="3">
        <v>3.241</v>
      </c>
      <c r="D135" s="1">
        <v>3.902</v>
      </c>
      <c r="E135" s="3">
        <v>2.634</v>
      </c>
      <c r="F135" s="1">
        <v>98.479</v>
      </c>
      <c r="G135" s="4">
        <v>72.18</v>
      </c>
    </row>
    <row r="136">
      <c r="A136" s="2">
        <v>45266.0</v>
      </c>
      <c r="B136" s="1">
        <v>12.78</v>
      </c>
      <c r="C136" s="3">
        <v>3.325</v>
      </c>
      <c r="D136" s="1">
        <v>3.902</v>
      </c>
      <c r="E136" s="3">
        <v>2.454</v>
      </c>
      <c r="F136" s="1">
        <v>99.707</v>
      </c>
      <c r="G136" s="4">
        <v>71.82</v>
      </c>
    </row>
    <row r="137">
      <c r="A137" s="5">
        <v>45273.0</v>
      </c>
      <c r="B137" s="1">
        <v>12.2</v>
      </c>
      <c r="C137" s="3">
        <v>3.113</v>
      </c>
      <c r="D137" s="1">
        <v>3.904</v>
      </c>
      <c r="E137" s="3">
        <v>2.21</v>
      </c>
      <c r="F137" s="1">
        <v>100.03</v>
      </c>
      <c r="G137" s="4">
        <v>72.91</v>
      </c>
    </row>
    <row r="138">
      <c r="A138" s="5">
        <v>45280.0</v>
      </c>
      <c r="B138" s="1">
        <v>12.63</v>
      </c>
      <c r="C138" s="3">
        <v>2.921</v>
      </c>
      <c r="D138" s="1">
        <v>3.905</v>
      </c>
      <c r="E138" s="3">
        <v>2.199</v>
      </c>
      <c r="F138" s="1">
        <v>100.123</v>
      </c>
      <c r="G138" s="4">
        <v>73.55</v>
      </c>
    </row>
    <row r="139">
      <c r="A139" s="5">
        <v>45288.0</v>
      </c>
      <c r="B139" s="1">
        <v>12.44</v>
      </c>
      <c r="C139" s="3">
        <v>3.008</v>
      </c>
      <c r="D139" s="1">
        <v>3.901</v>
      </c>
      <c r="E139" s="3">
        <v>2.27</v>
      </c>
      <c r="F139" s="1">
        <v>99.705</v>
      </c>
      <c r="G139" s="4">
        <v>74.79</v>
      </c>
    </row>
    <row r="140">
      <c r="A140" s="2">
        <v>45296.0</v>
      </c>
      <c r="B140" s="1">
        <v>14.24</v>
      </c>
      <c r="C140" s="3">
        <v>3.148</v>
      </c>
      <c r="D140" s="1">
        <v>3.882</v>
      </c>
      <c r="E140" s="3">
        <v>2.362</v>
      </c>
      <c r="F140" s="1">
        <v>100.076</v>
      </c>
      <c r="G140" s="4">
        <v>77.51</v>
      </c>
    </row>
    <row r="141">
      <c r="A141" s="2">
        <v>45303.0</v>
      </c>
      <c r="B141" s="1">
        <v>12.66</v>
      </c>
      <c r="C141" s="3">
        <v>3.062</v>
      </c>
      <c r="D141" s="1">
        <v>3.904</v>
      </c>
      <c r="E141" s="3">
        <v>2.39</v>
      </c>
      <c r="F141" s="1">
        <v>99.685</v>
      </c>
      <c r="G141" s="4">
        <v>76.26</v>
      </c>
    </row>
    <row r="142">
      <c r="A142" s="2">
        <v>45310.0</v>
      </c>
      <c r="B142" s="1">
        <v>13.8</v>
      </c>
      <c r="C142" s="3">
        <v>3.242</v>
      </c>
      <c r="D142" s="1">
        <v>3.902</v>
      </c>
      <c r="E142" s="3">
        <v>2.49</v>
      </c>
      <c r="F142" s="1">
        <v>100.079</v>
      </c>
      <c r="G142" s="4">
        <v>76.35</v>
      </c>
    </row>
    <row r="143">
      <c r="A143" s="2">
        <v>45317.0</v>
      </c>
      <c r="B143" s="1">
        <v>13.73</v>
      </c>
      <c r="C143" s="3">
        <v>3.111</v>
      </c>
      <c r="D143" s="1">
        <v>3.902</v>
      </c>
      <c r="E143" s="3">
        <v>2.509</v>
      </c>
      <c r="F143" s="1">
        <v>100.789</v>
      </c>
      <c r="G143" s="4">
        <v>77.04</v>
      </c>
    </row>
    <row r="144">
      <c r="A144" s="2">
        <v>45324.0</v>
      </c>
      <c r="B144" s="1">
        <v>13.95</v>
      </c>
      <c r="C144" s="3">
        <v>3.199</v>
      </c>
      <c r="D144" s="1">
        <v>3.907</v>
      </c>
      <c r="E144" s="3">
        <v>2.432</v>
      </c>
      <c r="F144" s="1">
        <v>99.948</v>
      </c>
      <c r="G144" s="4">
        <v>77.24</v>
      </c>
    </row>
    <row r="145">
      <c r="A145" s="2">
        <v>45331.0</v>
      </c>
      <c r="B145" s="1">
        <v>12.79</v>
      </c>
      <c r="C145" s="3">
        <v>3.389</v>
      </c>
      <c r="D145" s="1">
        <v>3.907</v>
      </c>
      <c r="E145" s="3">
        <v>2.57</v>
      </c>
      <c r="F145" s="1">
        <v>100.114</v>
      </c>
      <c r="G145" s="4">
        <v>78.87</v>
      </c>
    </row>
    <row r="146">
      <c r="A146" s="2">
        <v>45338.0</v>
      </c>
      <c r="B146" s="1">
        <v>13.94</v>
      </c>
      <c r="C146" s="3">
        <v>3.394</v>
      </c>
      <c r="D146" s="1">
        <v>3.909</v>
      </c>
      <c r="E146" s="3">
        <v>2.538</v>
      </c>
      <c r="F146" s="1">
        <v>100.539</v>
      </c>
      <c r="G146" s="4">
        <v>80.38</v>
      </c>
    </row>
    <row r="147">
      <c r="A147" s="2">
        <v>45345.0</v>
      </c>
      <c r="B147" s="1">
        <v>14.31</v>
      </c>
      <c r="C147" s="3">
        <v>3.396</v>
      </c>
      <c r="D147" s="1">
        <v>3.91</v>
      </c>
      <c r="E147" s="3">
        <v>2.495</v>
      </c>
      <c r="F147" s="1">
        <v>100.348</v>
      </c>
      <c r="G147" s="4">
        <v>81.67</v>
      </c>
    </row>
    <row r="148">
      <c r="A148" s="2">
        <v>45352.0</v>
      </c>
      <c r="B148" s="1">
        <v>13.34</v>
      </c>
      <c r="C148" s="3">
        <v>3.482</v>
      </c>
      <c r="D148" s="1">
        <v>3.904</v>
      </c>
      <c r="E148" s="3">
        <v>2.545</v>
      </c>
      <c r="F148" s="1">
        <v>100.819</v>
      </c>
      <c r="G148" s="4">
        <v>83.11</v>
      </c>
    </row>
    <row r="149">
      <c r="A149" s="2">
        <v>45359.0</v>
      </c>
      <c r="B149" s="1">
        <v>14.22</v>
      </c>
      <c r="C149" s="3">
        <v>3.323</v>
      </c>
      <c r="D149" s="1">
        <v>3.903</v>
      </c>
      <c r="E149" s="3">
        <v>2.432</v>
      </c>
      <c r="F149" s="1">
        <v>101.477</v>
      </c>
      <c r="G149" s="4">
        <v>80.82</v>
      </c>
    </row>
    <row r="150">
      <c r="A150" s="2">
        <v>45366.0</v>
      </c>
      <c r="B150" s="1">
        <v>14.33</v>
      </c>
      <c r="C150" s="3">
        <v>3.47</v>
      </c>
      <c r="D150" s="1">
        <v>3.904</v>
      </c>
      <c r="E150" s="3">
        <v>2.571</v>
      </c>
      <c r="F150" s="1">
        <v>101.406</v>
      </c>
      <c r="G150" s="4">
        <v>83.65</v>
      </c>
    </row>
    <row r="151">
      <c r="A151" s="2">
        <v>45373.0</v>
      </c>
      <c r="B151" s="1">
        <v>12.92</v>
      </c>
      <c r="C151" s="3">
        <v>3.397</v>
      </c>
      <c r="D151" s="1">
        <v>3.909</v>
      </c>
      <c r="E151" s="3">
        <v>2.485</v>
      </c>
      <c r="F151" s="1">
        <v>101.643</v>
      </c>
      <c r="G151" s="4">
        <v>83.05</v>
      </c>
    </row>
    <row r="152">
      <c r="A152" s="2">
        <v>45383.0</v>
      </c>
      <c r="B152" s="1">
        <v>13.61</v>
      </c>
      <c r="C152" s="3">
        <v>3.431</v>
      </c>
      <c r="D152" s="1">
        <v>3.909</v>
      </c>
      <c r="E152" s="3">
        <v>2.563</v>
      </c>
      <c r="F152" s="1">
        <v>101.615</v>
      </c>
      <c r="G152" s="4">
        <v>81.34</v>
      </c>
    </row>
    <row r="153">
      <c r="A153" s="2">
        <v>45390.0</v>
      </c>
      <c r="B153" s="1">
        <v>16.24</v>
      </c>
      <c r="C153" s="3">
        <v>3.46</v>
      </c>
      <c r="D153" s="1">
        <v>3.911</v>
      </c>
      <c r="E153" s="3">
        <v>2.499</v>
      </c>
      <c r="F153" s="1">
        <v>101.242</v>
      </c>
      <c r="G153" s="4">
        <v>80.78</v>
      </c>
    </row>
    <row r="154">
      <c r="A154" s="2">
        <v>45397.0</v>
      </c>
      <c r="B154" s="1">
        <v>16.94</v>
      </c>
      <c r="C154" s="3">
        <v>3.441</v>
      </c>
      <c r="D154" s="1">
        <v>3.907</v>
      </c>
      <c r="E154" s="3">
        <v>2.623</v>
      </c>
      <c r="F154" s="1">
        <v>100.672</v>
      </c>
      <c r="G154" s="4">
        <v>77.77</v>
      </c>
    </row>
    <row r="155">
      <c r="A155" s="2">
        <v>45404.0</v>
      </c>
      <c r="B155" s="1">
        <v>18.59</v>
      </c>
      <c r="C155" s="3">
        <v>3.581</v>
      </c>
      <c r="D155" s="1">
        <v>3.908</v>
      </c>
      <c r="E155" s="3">
        <v>2.71</v>
      </c>
      <c r="F155" s="1">
        <v>101.292</v>
      </c>
      <c r="G155" s="4">
        <v>77.9</v>
      </c>
    </row>
    <row r="156">
      <c r="A156" s="2">
        <v>45411.0</v>
      </c>
      <c r="B156" s="1">
        <v>15.37</v>
      </c>
      <c r="C156" s="3">
        <v>3.558</v>
      </c>
      <c r="D156" s="1">
        <v>3.911</v>
      </c>
      <c r="E156" s="3">
        <v>2.634</v>
      </c>
      <c r="F156" s="1">
        <v>101.543</v>
      </c>
      <c r="G156" s="4">
        <v>80.28</v>
      </c>
    </row>
    <row r="157">
      <c r="A157" s="2">
        <v>45418.0</v>
      </c>
      <c r="B157" s="1">
        <v>13.98</v>
      </c>
      <c r="C157" s="3">
        <v>3.486</v>
      </c>
      <c r="D157" s="1">
        <v>3.91</v>
      </c>
      <c r="E157" s="3">
        <v>2.652</v>
      </c>
      <c r="F157" s="1">
        <v>102.501</v>
      </c>
      <c r="G157" s="4">
        <v>79.14</v>
      </c>
    </row>
    <row r="158">
      <c r="A158" s="2">
        <v>45425.0</v>
      </c>
      <c r="B158" s="1">
        <v>13.26</v>
      </c>
      <c r="C158" s="3">
        <v>3.549</v>
      </c>
      <c r="D158" s="1">
        <v>3.901</v>
      </c>
      <c r="E158" s="3">
        <v>2.65</v>
      </c>
      <c r="F158" s="1">
        <v>103.224</v>
      </c>
      <c r="G158" s="4">
        <v>80.0</v>
      </c>
    </row>
    <row r="159">
      <c r="A159" s="2">
        <v>45432.0</v>
      </c>
      <c r="B159" s="1">
        <v>12.27</v>
      </c>
      <c r="C159" s="3">
        <v>3.529</v>
      </c>
      <c r="D159" s="1">
        <v>3.904</v>
      </c>
      <c r="E159" s="3">
        <v>2.696</v>
      </c>
      <c r="F159" s="1">
        <v>103.159</v>
      </c>
      <c r="G159" s="4">
        <v>79.72</v>
      </c>
    </row>
    <row r="160">
      <c r="A160" s="2">
        <v>45439.0</v>
      </c>
      <c r="B160" s="1">
        <v>12.41</v>
      </c>
      <c r="C160" s="3">
        <v>3.639</v>
      </c>
      <c r="D160" s="1">
        <v>3.912</v>
      </c>
      <c r="E160" s="3">
        <v>2.776</v>
      </c>
      <c r="F160" s="1">
        <v>102.545</v>
      </c>
      <c r="G160" s="4">
        <v>79.89</v>
      </c>
    </row>
    <row r="161">
      <c r="A161" s="2">
        <v>45446.0</v>
      </c>
      <c r="B161" s="1">
        <v>13.08</v>
      </c>
      <c r="C161" s="3">
        <v>3.599</v>
      </c>
      <c r="D161" s="1">
        <v>3.91</v>
      </c>
      <c r="E161" s="3">
        <v>2.726</v>
      </c>
      <c r="F161" s="1">
        <v>103.161</v>
      </c>
      <c r="G161" s="4">
        <v>80.26</v>
      </c>
    </row>
    <row r="162">
      <c r="A162" s="2">
        <v>45453.0</v>
      </c>
      <c r="B162" s="1">
        <v>13.09</v>
      </c>
      <c r="C162" s="3">
        <v>3.619</v>
      </c>
      <c r="D162" s="1">
        <v>3.911</v>
      </c>
      <c r="E162" s="3">
        <v>2.512</v>
      </c>
      <c r="F162" s="1">
        <v>102.825</v>
      </c>
      <c r="G162" s="4">
        <v>78.75</v>
      </c>
    </row>
    <row r="163">
      <c r="A163" s="2">
        <v>45460.0</v>
      </c>
      <c r="B163" s="1">
        <v>13.07</v>
      </c>
      <c r="C163" s="3">
        <v>3.584</v>
      </c>
      <c r="D163" s="1">
        <v>3.661</v>
      </c>
      <c r="E163" s="3">
        <v>2.589</v>
      </c>
      <c r="F163" s="1">
        <v>102.699</v>
      </c>
      <c r="G163" s="4">
        <v>77.51</v>
      </c>
    </row>
    <row r="164">
      <c r="A164" s="2">
        <v>45467.0</v>
      </c>
      <c r="B164" s="1">
        <v>13.85</v>
      </c>
      <c r="C164" s="3">
        <v>3.554</v>
      </c>
      <c r="D164" s="1">
        <v>3.663</v>
      </c>
      <c r="E164" s="3">
        <v>2.674</v>
      </c>
      <c r="F164" s="1">
        <v>102.619</v>
      </c>
      <c r="G164" s="4">
        <v>80.34</v>
      </c>
    </row>
    <row r="165">
      <c r="A165" s="2">
        <v>45474.0</v>
      </c>
      <c r="B165" s="1">
        <v>12.98</v>
      </c>
      <c r="C165" s="3">
        <v>3.572</v>
      </c>
      <c r="D165" s="1">
        <v>3.662</v>
      </c>
      <c r="E165" s="3">
        <v>2.718</v>
      </c>
      <c r="F165" s="1">
        <v>103.015</v>
      </c>
      <c r="G165" s="4">
        <v>81.96</v>
      </c>
    </row>
    <row r="166">
      <c r="A166" s="2">
        <v>45481.0</v>
      </c>
      <c r="B166" s="1">
        <v>12.91</v>
      </c>
      <c r="C166" s="3">
        <v>3.491</v>
      </c>
      <c r="D166" s="1">
        <v>3.663</v>
      </c>
      <c r="E166" s="3">
        <v>2.685</v>
      </c>
      <c r="F166" s="1">
        <v>103.256</v>
      </c>
      <c r="G166" s="4">
        <v>83.93</v>
      </c>
    </row>
    <row r="167">
      <c r="A167" s="2">
        <v>45488.0</v>
      </c>
      <c r="B167" s="1">
        <v>12.78</v>
      </c>
      <c r="C167" s="3">
        <v>3.191</v>
      </c>
      <c r="D167" s="1">
        <v>3.662</v>
      </c>
      <c r="E167" s="3">
        <v>2.663</v>
      </c>
      <c r="F167" s="1">
        <v>103.614</v>
      </c>
      <c r="G167" s="4">
        <v>82.24</v>
      </c>
    </row>
    <row r="168">
      <c r="A168" s="2">
        <v>45495.0</v>
      </c>
      <c r="B168" s="1">
        <v>16.79</v>
      </c>
      <c r="C168" s="3">
        <v>3.159</v>
      </c>
      <c r="D168" s="1">
        <v>3.663</v>
      </c>
      <c r="E168" s="3">
        <v>2.627</v>
      </c>
      <c r="F168" s="1">
        <v>103.176</v>
      </c>
      <c r="G168" s="4">
        <v>80.33</v>
      </c>
    </row>
    <row r="169">
      <c r="A169" s="2">
        <v>45502.0</v>
      </c>
      <c r="B169" s="1">
        <v>16.59</v>
      </c>
      <c r="C169" s="3">
        <v>3.079</v>
      </c>
      <c r="D169" s="1">
        <v>3.665</v>
      </c>
      <c r="E169" s="3">
        <v>2.41</v>
      </c>
      <c r="F169" s="1">
        <v>103.76</v>
      </c>
      <c r="G169" s="4">
        <v>75.22</v>
      </c>
    </row>
    <row r="170">
      <c r="A170" s="2">
        <v>45509.0</v>
      </c>
      <c r="B170" s="1">
        <v>23.39</v>
      </c>
      <c r="C170" s="3">
        <v>2.87</v>
      </c>
      <c r="D170" s="1">
        <v>3.664</v>
      </c>
      <c r="E170" s="3">
        <v>2.458</v>
      </c>
      <c r="F170" s="1">
        <v>102.729</v>
      </c>
      <c r="G170" s="4">
        <v>76.26</v>
      </c>
    </row>
    <row r="171">
      <c r="A171" s="2">
        <v>45516.0</v>
      </c>
      <c r="B171" s="1">
        <v>20.79</v>
      </c>
      <c r="C171" s="3">
        <v>2.895</v>
      </c>
      <c r="D171" s="1">
        <v>3.665</v>
      </c>
      <c r="E171" s="3">
        <v>2.477</v>
      </c>
      <c r="F171" s="1">
        <v>103.274</v>
      </c>
      <c r="G171" s="4">
        <v>81.28</v>
      </c>
    </row>
    <row r="172">
      <c r="A172" s="2">
        <v>45523.0</v>
      </c>
      <c r="B172" s="1">
        <v>15.94</v>
      </c>
      <c r="C172" s="3">
        <v>2.957</v>
      </c>
      <c r="D172" s="1">
        <v>3.662</v>
      </c>
      <c r="E172" s="3">
        <v>2.472</v>
      </c>
      <c r="F172" s="1">
        <v>104.117</v>
      </c>
      <c r="G172" s="4">
        <v>84.19</v>
      </c>
    </row>
    <row r="173">
      <c r="A173" s="2">
        <v>45530.0</v>
      </c>
      <c r="B173" s="1">
        <v>16.27</v>
      </c>
      <c r="C173" s="3">
        <v>2.794</v>
      </c>
      <c r="D173" s="1">
        <v>3.664</v>
      </c>
      <c r="E173" s="3">
        <v>2.539</v>
      </c>
      <c r="F173" s="1">
        <v>104.67</v>
      </c>
      <c r="G173" s="4">
        <v>84.47</v>
      </c>
    </row>
    <row r="174">
      <c r="A174" s="2">
        <v>45537.0</v>
      </c>
      <c r="B174" s="1">
        <v>15.87</v>
      </c>
      <c r="C174" s="3">
        <v>2.861</v>
      </c>
      <c r="D174" s="1">
        <v>3.664</v>
      </c>
      <c r="E174" s="3">
        <v>2.434</v>
      </c>
      <c r="F174" s="1">
        <v>104.525</v>
      </c>
      <c r="G174" s="4">
        <v>79.96</v>
      </c>
    </row>
    <row r="175">
      <c r="A175" s="2">
        <v>45544.0</v>
      </c>
      <c r="B175" s="1">
        <v>21.32</v>
      </c>
      <c r="C175" s="3">
        <v>2.693</v>
      </c>
      <c r="D175" s="1">
        <v>3.662</v>
      </c>
      <c r="E175" s="3">
        <v>2.432</v>
      </c>
      <c r="F175" s="1">
        <v>104.478</v>
      </c>
      <c r="G175" s="4">
        <v>82.33</v>
      </c>
    </row>
    <row r="176">
      <c r="A176" s="2">
        <v>45551.0</v>
      </c>
      <c r="B176" s="1">
        <v>17.16</v>
      </c>
      <c r="C176" s="3">
        <v>2.629</v>
      </c>
      <c r="D176" s="1">
        <v>3.664</v>
      </c>
      <c r="E176" s="3">
        <v>2.514</v>
      </c>
      <c r="F176" s="1">
        <v>105.129</v>
      </c>
      <c r="G176" s="4">
        <v>83.43</v>
      </c>
    </row>
    <row r="177">
      <c r="A177" s="2">
        <v>45558.0</v>
      </c>
      <c r="B177" s="1">
        <v>16.71</v>
      </c>
      <c r="C177" s="3">
        <v>2.467</v>
      </c>
      <c r="D177" s="1">
        <v>3.414</v>
      </c>
      <c r="E177" s="3">
        <v>2.472</v>
      </c>
      <c r="F177" s="1">
        <v>105.266</v>
      </c>
      <c r="G177" s="4">
        <v>84.43</v>
      </c>
    </row>
    <row r="178">
      <c r="A178" s="2">
        <v>45565.0</v>
      </c>
      <c r="B178" s="1">
        <v>17.01</v>
      </c>
      <c r="C178" s="3">
        <v>2.63</v>
      </c>
      <c r="D178" s="1">
        <v>3.415</v>
      </c>
      <c r="E178" s="3">
        <v>2.493</v>
      </c>
      <c r="F178" s="1">
        <v>105.126</v>
      </c>
      <c r="G178" s="4">
        <v>84.0</v>
      </c>
    </row>
    <row r="179">
      <c r="A179" s="2">
        <v>45572.0</v>
      </c>
      <c r="B179" s="1">
        <v>20.76</v>
      </c>
      <c r="C179" s="3">
        <v>2.748</v>
      </c>
      <c r="D179" s="1">
        <v>3.407</v>
      </c>
      <c r="E179" s="3">
        <v>2.562</v>
      </c>
      <c r="F179" s="1">
        <v>104.926</v>
      </c>
      <c r="G179" s="4">
        <v>83.48</v>
      </c>
    </row>
    <row r="180">
      <c r="A180" s="5">
        <v>45579.0</v>
      </c>
      <c r="B180" s="1">
        <v>20.86</v>
      </c>
      <c r="C180" s="3">
        <v>2.493</v>
      </c>
      <c r="D180" s="1">
        <v>3.414</v>
      </c>
      <c r="E180" s="3">
        <v>2.5</v>
      </c>
      <c r="F180" s="1">
        <v>105.589</v>
      </c>
      <c r="G180" s="4">
        <v>82.21</v>
      </c>
    </row>
    <row r="181">
      <c r="A181" s="5">
        <v>45586.0</v>
      </c>
      <c r="B181" s="1">
        <v>18.78</v>
      </c>
      <c r="C181" s="3">
        <v>2.589</v>
      </c>
      <c r="D181" s="1">
        <v>3.415</v>
      </c>
      <c r="E181" s="3">
        <v>2.594</v>
      </c>
      <c r="F181" s="1">
        <v>105.473</v>
      </c>
      <c r="G181" s="4">
        <v>79.11</v>
      </c>
    </row>
    <row r="182">
      <c r="A182" s="5">
        <v>45593.0</v>
      </c>
      <c r="B182" s="1">
        <v>19.11</v>
      </c>
      <c r="C182" s="3">
        <v>2.754</v>
      </c>
      <c r="D182" s="1">
        <v>3.166</v>
      </c>
      <c r="E182" s="3">
        <v>2.628</v>
      </c>
      <c r="F182" s="1">
        <v>104.919</v>
      </c>
      <c r="G182" s="4">
        <v>80.17</v>
      </c>
    </row>
    <row r="183">
      <c r="A183" s="2">
        <v>45600.0</v>
      </c>
      <c r="B183" s="1">
        <v>22.5</v>
      </c>
      <c r="C183" s="3">
        <v>2.693</v>
      </c>
      <c r="D183" s="1">
        <v>3.155</v>
      </c>
      <c r="E183" s="3">
        <v>2.603</v>
      </c>
      <c r="F183" s="1">
        <v>104.747</v>
      </c>
      <c r="G183" s="4">
        <v>81.47</v>
      </c>
    </row>
    <row r="184">
      <c r="A184" s="5">
        <v>45607.0</v>
      </c>
      <c r="B184" s="1">
        <v>15.33</v>
      </c>
      <c r="C184" s="3">
        <v>2.566</v>
      </c>
      <c r="D184" s="1">
        <v>3.163</v>
      </c>
      <c r="E184" s="3">
        <v>2.568</v>
      </c>
      <c r="F184" s="1">
        <v>104.765</v>
      </c>
      <c r="G184" s="4">
        <v>79.26</v>
      </c>
    </row>
    <row r="185">
      <c r="A185" s="5">
        <v>45614.0</v>
      </c>
      <c r="B185" s="1">
        <v>16.6</v>
      </c>
      <c r="C185" s="3">
        <v>2.445</v>
      </c>
      <c r="D185" s="1">
        <v>3.165</v>
      </c>
      <c r="E185" s="3">
        <v>2.497</v>
      </c>
      <c r="F185" s="1">
        <v>104.632</v>
      </c>
      <c r="G185" s="4">
        <v>79.65</v>
      </c>
    </row>
    <row r="186">
      <c r="A186" s="5">
        <v>45621.0</v>
      </c>
      <c r="B186" s="1">
        <v>15.23</v>
      </c>
      <c r="C186" s="3">
        <v>2.336</v>
      </c>
      <c r="D186" s="1">
        <v>3.167</v>
      </c>
      <c r="E186" s="3">
        <v>2.319</v>
      </c>
      <c r="F186" s="1">
        <v>104.993</v>
      </c>
      <c r="G186" s="4">
        <v>81.49</v>
      </c>
    </row>
    <row r="187">
      <c r="A187" s="2">
        <v>45628.0</v>
      </c>
      <c r="B187" s="1">
        <v>14.08</v>
      </c>
      <c r="C187" s="3">
        <v>2.352</v>
      </c>
      <c r="D187" s="1">
        <v>3.164</v>
      </c>
      <c r="E187" s="3">
        <v>2.316</v>
      </c>
      <c r="F187" s="1">
        <v>105.712</v>
      </c>
      <c r="G187" s="4">
        <v>83.44</v>
      </c>
    </row>
    <row r="188">
      <c r="A188" s="2">
        <v>45635.0</v>
      </c>
      <c r="B188" s="1">
        <v>13.36</v>
      </c>
      <c r="C188" s="3">
        <v>2.405</v>
      </c>
      <c r="D188" s="1">
        <v>3.165</v>
      </c>
      <c r="E188" s="3">
        <v>2.475</v>
      </c>
      <c r="F188" s="1">
        <v>105.895</v>
      </c>
      <c r="G188" s="4">
        <v>81.61</v>
      </c>
    </row>
    <row r="189">
      <c r="A189" s="5">
        <v>45642.0</v>
      </c>
      <c r="B189" s="1">
        <v>14.37</v>
      </c>
      <c r="C189" s="3">
        <v>2.389</v>
      </c>
      <c r="D189" s="1">
        <v>3.164</v>
      </c>
      <c r="E189" s="3">
        <v>2.52</v>
      </c>
      <c r="F189" s="1">
        <v>105.033</v>
      </c>
      <c r="G189" s="4">
        <v>79.48</v>
      </c>
    </row>
    <row r="190">
      <c r="A190" s="5">
        <v>45649.0</v>
      </c>
      <c r="B190" s="1">
        <v>18.09</v>
      </c>
      <c r="C190" s="3">
        <v>2.418</v>
      </c>
      <c r="D190" s="1">
        <v>2.919</v>
      </c>
      <c r="E190" s="3">
        <v>2.622</v>
      </c>
      <c r="F190" s="1">
        <v>104.847</v>
      </c>
      <c r="G190" s="4">
        <v>80.98</v>
      </c>
    </row>
    <row r="191">
      <c r="A191" s="5">
        <v>45657.0</v>
      </c>
      <c r="B191" s="1">
        <v>17.39</v>
      </c>
      <c r="C191" s="3">
        <v>2.503</v>
      </c>
      <c r="D191" s="1">
        <v>2.915</v>
      </c>
      <c r="E191" s="3">
        <v>2.654</v>
      </c>
      <c r="F191" s="1">
        <v>105.157</v>
      </c>
      <c r="G191" s="4">
        <v>80.11</v>
      </c>
    </row>
    <row r="192">
      <c r="A192" s="2">
        <v>45665.0</v>
      </c>
      <c r="B192" s="1">
        <v>17.91</v>
      </c>
      <c r="C192" s="3">
        <v>2.671</v>
      </c>
      <c r="D192" s="1">
        <v>2.918</v>
      </c>
      <c r="E192" s="3">
        <v>2.791</v>
      </c>
      <c r="F192" s="1">
        <v>105.302</v>
      </c>
      <c r="G192" s="4">
        <v>77.89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>
        <v>44313.0</v>
      </c>
      <c r="B1" s="1">
        <v>17.62</v>
      </c>
      <c r="C1" s="1">
        <v>18.16</v>
      </c>
      <c r="D1" s="1">
        <v>16.97</v>
      </c>
      <c r="E1" s="1">
        <v>17.56</v>
      </c>
      <c r="F1" s="6">
        <f t="shared" ref="F1:F953" si="1">MOD(ROW(F1)-ROW($F$1), 5)</f>
        <v>0</v>
      </c>
    </row>
    <row r="2" hidden="1">
      <c r="A2" s="2">
        <v>44314.0</v>
      </c>
      <c r="B2" s="1">
        <v>17.47</v>
      </c>
      <c r="C2" s="1">
        <v>17.84</v>
      </c>
      <c r="D2" s="1">
        <v>16.67</v>
      </c>
      <c r="E2" s="1">
        <v>17.28</v>
      </c>
      <c r="F2" s="6">
        <f t="shared" si="1"/>
        <v>1</v>
      </c>
    </row>
    <row r="3" hidden="1">
      <c r="A3" s="2">
        <v>44315.0</v>
      </c>
      <c r="B3" s="1">
        <v>16.88</v>
      </c>
      <c r="C3" s="1">
        <v>18.87</v>
      </c>
      <c r="D3" s="1">
        <v>16.77</v>
      </c>
      <c r="E3" s="1">
        <v>17.61</v>
      </c>
      <c r="F3" s="6">
        <f t="shared" si="1"/>
        <v>2</v>
      </c>
    </row>
    <row r="4" hidden="1">
      <c r="A4" s="2">
        <v>44316.0</v>
      </c>
      <c r="B4" s="1">
        <v>17.67</v>
      </c>
      <c r="C4" s="1">
        <v>19.25</v>
      </c>
      <c r="D4" s="1">
        <v>17.64</v>
      </c>
      <c r="E4" s="1">
        <v>18.61</v>
      </c>
      <c r="F4" s="6">
        <f t="shared" si="1"/>
        <v>3</v>
      </c>
    </row>
    <row r="5" hidden="1">
      <c r="A5" s="2">
        <v>44319.0</v>
      </c>
      <c r="B5" s="1">
        <v>18.65</v>
      </c>
      <c r="C5" s="1">
        <v>19.12</v>
      </c>
      <c r="D5" s="1">
        <v>17.8</v>
      </c>
      <c r="E5" s="1">
        <v>18.31</v>
      </c>
      <c r="F5" s="6">
        <f t="shared" si="1"/>
        <v>4</v>
      </c>
    </row>
    <row r="6">
      <c r="A6" s="2">
        <v>44320.0</v>
      </c>
      <c r="B6" s="1">
        <v>18.16</v>
      </c>
      <c r="C6" s="1">
        <v>21.85</v>
      </c>
      <c r="D6" s="1">
        <v>18.11</v>
      </c>
      <c r="E6" s="1">
        <v>19.48</v>
      </c>
      <c r="F6" s="6">
        <f t="shared" si="1"/>
        <v>0</v>
      </c>
    </row>
    <row r="7" hidden="1">
      <c r="A7" s="2">
        <v>44321.0</v>
      </c>
      <c r="B7" s="1">
        <v>18.84</v>
      </c>
      <c r="C7" s="1">
        <v>19.58</v>
      </c>
      <c r="D7" s="1">
        <v>17.89</v>
      </c>
      <c r="E7" s="1">
        <v>19.15</v>
      </c>
      <c r="F7" s="6">
        <f t="shared" si="1"/>
        <v>1</v>
      </c>
    </row>
    <row r="8" hidden="1">
      <c r="A8" s="2">
        <v>44322.0</v>
      </c>
      <c r="B8" s="1">
        <v>18.41</v>
      </c>
      <c r="C8" s="1">
        <v>20.6</v>
      </c>
      <c r="D8" s="1">
        <v>18.21</v>
      </c>
      <c r="E8" s="1">
        <v>18.39</v>
      </c>
      <c r="F8" s="6">
        <f t="shared" si="1"/>
        <v>2</v>
      </c>
    </row>
    <row r="9" hidden="1">
      <c r="A9" s="2">
        <v>44323.0</v>
      </c>
      <c r="B9" s="1">
        <v>18.45</v>
      </c>
      <c r="C9" s="1">
        <v>18.57</v>
      </c>
      <c r="D9" s="1">
        <v>16.68</v>
      </c>
      <c r="E9" s="1">
        <v>16.69</v>
      </c>
      <c r="F9" s="6">
        <f t="shared" si="1"/>
        <v>3</v>
      </c>
    </row>
    <row r="10" hidden="1">
      <c r="A10" s="2">
        <v>44326.0</v>
      </c>
      <c r="B10" s="1">
        <v>17.34</v>
      </c>
      <c r="C10" s="1">
        <v>19.75</v>
      </c>
      <c r="D10" s="1">
        <v>17.07</v>
      </c>
      <c r="E10" s="1">
        <v>19.66</v>
      </c>
      <c r="F10" s="6">
        <f t="shared" si="1"/>
        <v>4</v>
      </c>
    </row>
    <row r="11">
      <c r="A11" s="2">
        <v>44327.0</v>
      </c>
      <c r="B11" s="1">
        <v>21.17</v>
      </c>
      <c r="C11" s="1">
        <v>23.73</v>
      </c>
      <c r="D11" s="1">
        <v>20.71</v>
      </c>
      <c r="E11" s="1">
        <v>21.84</v>
      </c>
      <c r="F11" s="6">
        <f t="shared" si="1"/>
        <v>0</v>
      </c>
    </row>
    <row r="12" hidden="1">
      <c r="A12" s="2">
        <v>44328.0</v>
      </c>
      <c r="B12" s="1">
        <v>22.42</v>
      </c>
      <c r="C12" s="1">
        <v>28.38</v>
      </c>
      <c r="D12" s="1">
        <v>21.66</v>
      </c>
      <c r="E12" s="1">
        <v>27.59</v>
      </c>
      <c r="F12" s="6">
        <f t="shared" si="1"/>
        <v>1</v>
      </c>
    </row>
    <row r="13" hidden="1">
      <c r="A13" s="2">
        <v>44329.0</v>
      </c>
      <c r="B13" s="1">
        <v>26.03</v>
      </c>
      <c r="C13" s="1">
        <v>28.93</v>
      </c>
      <c r="D13" s="1">
        <v>22.23</v>
      </c>
      <c r="E13" s="1">
        <v>23.13</v>
      </c>
      <c r="F13" s="6">
        <f t="shared" si="1"/>
        <v>2</v>
      </c>
    </row>
    <row r="14" hidden="1">
      <c r="A14" s="2">
        <v>44330.0</v>
      </c>
      <c r="B14" s="1">
        <v>21.77</v>
      </c>
      <c r="C14" s="1">
        <v>22.1</v>
      </c>
      <c r="D14" s="1">
        <v>18.66</v>
      </c>
      <c r="E14" s="1">
        <v>18.81</v>
      </c>
      <c r="F14" s="6">
        <f t="shared" si="1"/>
        <v>3</v>
      </c>
    </row>
    <row r="15" hidden="1">
      <c r="A15" s="2">
        <v>44333.0</v>
      </c>
      <c r="B15" s="1">
        <v>19.89</v>
      </c>
      <c r="C15" s="1">
        <v>21.58</v>
      </c>
      <c r="D15" s="1">
        <v>19.67</v>
      </c>
      <c r="E15" s="1">
        <v>19.72</v>
      </c>
      <c r="F15" s="6">
        <f t="shared" si="1"/>
        <v>4</v>
      </c>
    </row>
    <row r="16">
      <c r="A16" s="2">
        <v>44334.0</v>
      </c>
      <c r="B16" s="1">
        <v>18.89</v>
      </c>
      <c r="C16" s="1">
        <v>21.45</v>
      </c>
      <c r="D16" s="1">
        <v>18.81</v>
      </c>
      <c r="E16" s="1">
        <v>21.34</v>
      </c>
      <c r="F16" s="6">
        <f t="shared" si="1"/>
        <v>0</v>
      </c>
    </row>
    <row r="17" hidden="1">
      <c r="A17" s="2">
        <v>44335.0</v>
      </c>
      <c r="B17" s="1">
        <v>22.46</v>
      </c>
      <c r="C17" s="1">
        <v>25.96</v>
      </c>
      <c r="D17" s="1">
        <v>21.88</v>
      </c>
      <c r="E17" s="1">
        <v>22.18</v>
      </c>
      <c r="F17" s="6">
        <f t="shared" si="1"/>
        <v>1</v>
      </c>
    </row>
    <row r="18" hidden="1">
      <c r="A18" s="2">
        <v>44336.0</v>
      </c>
      <c r="B18" s="1">
        <v>22.33</v>
      </c>
      <c r="C18" s="1">
        <v>23.5</v>
      </c>
      <c r="D18" s="1">
        <v>20.19</v>
      </c>
      <c r="E18" s="1">
        <v>20.67</v>
      </c>
      <c r="F18" s="6">
        <f t="shared" si="1"/>
        <v>2</v>
      </c>
    </row>
    <row r="19" hidden="1">
      <c r="A19" s="2">
        <v>44337.0</v>
      </c>
      <c r="B19" s="1">
        <v>20.42</v>
      </c>
      <c r="C19" s="1">
        <v>20.89</v>
      </c>
      <c r="D19" s="1">
        <v>19.53</v>
      </c>
      <c r="E19" s="1">
        <v>20.15</v>
      </c>
      <c r="F19" s="6">
        <f t="shared" si="1"/>
        <v>3</v>
      </c>
    </row>
    <row r="20" hidden="1">
      <c r="A20" s="2">
        <v>44340.0</v>
      </c>
      <c r="B20" s="1">
        <v>20.5</v>
      </c>
      <c r="C20" s="1">
        <v>20.51</v>
      </c>
      <c r="D20" s="1">
        <v>18.38</v>
      </c>
      <c r="E20" s="1">
        <v>18.4</v>
      </c>
      <c r="F20" s="6">
        <f t="shared" si="1"/>
        <v>4</v>
      </c>
    </row>
    <row r="21">
      <c r="A21" s="2">
        <v>44341.0</v>
      </c>
      <c r="B21" s="1">
        <v>18.35</v>
      </c>
      <c r="C21" s="1">
        <v>19.29</v>
      </c>
      <c r="D21" s="1">
        <v>16.87</v>
      </c>
      <c r="E21" s="1">
        <v>18.84</v>
      </c>
      <c r="F21" s="6">
        <f t="shared" si="1"/>
        <v>0</v>
      </c>
    </row>
    <row r="22" hidden="1">
      <c r="A22" s="2">
        <v>44342.0</v>
      </c>
      <c r="B22" s="1">
        <v>18.37</v>
      </c>
      <c r="C22" s="1">
        <v>18.92</v>
      </c>
      <c r="D22" s="1">
        <v>17.35</v>
      </c>
      <c r="E22" s="1">
        <v>17.36</v>
      </c>
      <c r="F22" s="6">
        <f t="shared" si="1"/>
        <v>1</v>
      </c>
    </row>
    <row r="23" hidden="1">
      <c r="A23" s="2">
        <v>44343.0</v>
      </c>
      <c r="B23" s="1">
        <v>18.03</v>
      </c>
      <c r="C23" s="1">
        <v>18.17</v>
      </c>
      <c r="D23" s="1">
        <v>16.52</v>
      </c>
      <c r="E23" s="1">
        <v>16.74</v>
      </c>
      <c r="F23" s="6">
        <f t="shared" si="1"/>
        <v>2</v>
      </c>
    </row>
    <row r="24" hidden="1">
      <c r="A24" s="2">
        <v>44344.0</v>
      </c>
      <c r="B24" s="1">
        <v>16.8</v>
      </c>
      <c r="C24" s="1">
        <v>16.86</v>
      </c>
      <c r="D24" s="1">
        <v>15.9</v>
      </c>
      <c r="E24" s="1">
        <v>16.76</v>
      </c>
      <c r="F24" s="6">
        <f t="shared" si="1"/>
        <v>3</v>
      </c>
    </row>
    <row r="25" hidden="1">
      <c r="A25" s="2">
        <v>44348.0</v>
      </c>
      <c r="B25" s="1">
        <v>17.24</v>
      </c>
      <c r="C25" s="1">
        <v>18.53</v>
      </c>
      <c r="D25" s="1">
        <v>15.68</v>
      </c>
      <c r="E25" s="1">
        <v>17.9</v>
      </c>
      <c r="F25" s="6">
        <f t="shared" si="1"/>
        <v>4</v>
      </c>
    </row>
    <row r="26">
      <c r="A26" s="2">
        <v>44349.0</v>
      </c>
      <c r="B26" s="1">
        <v>17.86</v>
      </c>
      <c r="C26" s="1">
        <v>18.31</v>
      </c>
      <c r="D26" s="1">
        <v>16.74</v>
      </c>
      <c r="E26" s="1">
        <v>17.48</v>
      </c>
      <c r="F26" s="6">
        <f t="shared" si="1"/>
        <v>0</v>
      </c>
    </row>
    <row r="27" hidden="1">
      <c r="A27" s="2">
        <v>44350.0</v>
      </c>
      <c r="B27" s="1">
        <v>17.73</v>
      </c>
      <c r="C27" s="1">
        <v>19.27</v>
      </c>
      <c r="D27" s="1">
        <v>17.45</v>
      </c>
      <c r="E27" s="1">
        <v>18.04</v>
      </c>
      <c r="F27" s="6">
        <f t="shared" si="1"/>
        <v>1</v>
      </c>
    </row>
    <row r="28" hidden="1">
      <c r="A28" s="2">
        <v>44351.0</v>
      </c>
      <c r="B28" s="1">
        <v>18.09</v>
      </c>
      <c r="C28" s="1">
        <v>18.42</v>
      </c>
      <c r="D28" s="1">
        <v>16.18</v>
      </c>
      <c r="E28" s="1">
        <v>16.42</v>
      </c>
      <c r="F28" s="6">
        <f t="shared" si="1"/>
        <v>2</v>
      </c>
    </row>
    <row r="29" hidden="1">
      <c r="A29" s="2">
        <v>44354.0</v>
      </c>
      <c r="B29" s="1">
        <v>17.34</v>
      </c>
      <c r="C29" s="1">
        <v>17.35</v>
      </c>
      <c r="D29" s="1">
        <v>15.78</v>
      </c>
      <c r="E29" s="1">
        <v>16.42</v>
      </c>
      <c r="F29" s="6">
        <f t="shared" si="1"/>
        <v>3</v>
      </c>
    </row>
    <row r="30" hidden="1">
      <c r="A30" s="2">
        <v>44355.0</v>
      </c>
      <c r="B30" s="1">
        <v>16.58</v>
      </c>
      <c r="C30" s="1">
        <v>17.75</v>
      </c>
      <c r="D30" s="1">
        <v>15.15</v>
      </c>
      <c r="E30" s="1">
        <v>17.07</v>
      </c>
      <c r="F30" s="6">
        <f t="shared" si="1"/>
        <v>4</v>
      </c>
    </row>
    <row r="31">
      <c r="A31" s="2">
        <v>44356.0</v>
      </c>
      <c r="B31" s="1">
        <v>17.18</v>
      </c>
      <c r="C31" s="1">
        <v>17.96</v>
      </c>
      <c r="D31" s="1">
        <v>15.55</v>
      </c>
      <c r="E31" s="1">
        <v>17.89</v>
      </c>
      <c r="F31" s="6">
        <f t="shared" si="1"/>
        <v>0</v>
      </c>
    </row>
    <row r="32" hidden="1">
      <c r="A32" s="2">
        <v>44357.0</v>
      </c>
      <c r="B32" s="1">
        <v>18.18</v>
      </c>
      <c r="C32" s="1">
        <v>18.29</v>
      </c>
      <c r="D32" s="1">
        <v>16.01</v>
      </c>
      <c r="E32" s="1">
        <v>16.1</v>
      </c>
      <c r="F32" s="6">
        <f t="shared" si="1"/>
        <v>1</v>
      </c>
    </row>
    <row r="33" hidden="1">
      <c r="A33" s="2">
        <v>44358.0</v>
      </c>
      <c r="B33" s="1">
        <v>16.18</v>
      </c>
      <c r="C33" s="1">
        <v>16.2</v>
      </c>
      <c r="D33" s="1">
        <v>15.15</v>
      </c>
      <c r="E33" s="1">
        <v>15.65</v>
      </c>
      <c r="F33" s="6">
        <f t="shared" si="1"/>
        <v>2</v>
      </c>
    </row>
    <row r="34" hidden="1">
      <c r="A34" s="2">
        <v>44361.0</v>
      </c>
      <c r="B34" s="1">
        <v>16.04</v>
      </c>
      <c r="C34" s="1">
        <v>17.04</v>
      </c>
      <c r="D34" s="1">
        <v>15.04</v>
      </c>
      <c r="E34" s="1">
        <v>16.39</v>
      </c>
      <c r="F34" s="6">
        <f t="shared" si="1"/>
        <v>3</v>
      </c>
    </row>
    <row r="35" hidden="1">
      <c r="A35" s="2">
        <v>44362.0</v>
      </c>
      <c r="B35" s="1">
        <v>16.27</v>
      </c>
      <c r="C35" s="1">
        <v>17.35</v>
      </c>
      <c r="D35" s="1">
        <v>16.14</v>
      </c>
      <c r="E35" s="1">
        <v>17.02</v>
      </c>
      <c r="F35" s="6">
        <f t="shared" si="1"/>
        <v>4</v>
      </c>
    </row>
    <row r="36">
      <c r="A36" s="2">
        <v>44363.0</v>
      </c>
      <c r="B36" s="1">
        <v>16.99</v>
      </c>
      <c r="C36" s="1">
        <v>19.11</v>
      </c>
      <c r="D36" s="1">
        <v>16.42</v>
      </c>
      <c r="E36" s="1">
        <v>18.15</v>
      </c>
      <c r="F36" s="6">
        <f t="shared" si="1"/>
        <v>0</v>
      </c>
    </row>
    <row r="37" hidden="1">
      <c r="A37" s="2">
        <v>44364.0</v>
      </c>
      <c r="B37" s="1">
        <v>18.49</v>
      </c>
      <c r="C37" s="1">
        <v>19.22</v>
      </c>
      <c r="D37" s="1">
        <v>16.71</v>
      </c>
      <c r="E37" s="1">
        <v>17.75</v>
      </c>
      <c r="F37" s="6">
        <f t="shared" si="1"/>
        <v>1</v>
      </c>
    </row>
    <row r="38" hidden="1">
      <c r="A38" s="2">
        <v>44365.0</v>
      </c>
      <c r="B38" s="1">
        <v>16.96</v>
      </c>
      <c r="C38" s="1">
        <v>21.04</v>
      </c>
      <c r="D38" s="1">
        <v>16.92</v>
      </c>
      <c r="E38" s="1">
        <v>20.7</v>
      </c>
      <c r="F38" s="6">
        <f t="shared" si="1"/>
        <v>2</v>
      </c>
    </row>
    <row r="39" hidden="1">
      <c r="A39" s="2">
        <v>44368.0</v>
      </c>
      <c r="B39" s="1">
        <v>21.74</v>
      </c>
      <c r="C39" s="1">
        <v>21.82</v>
      </c>
      <c r="D39" s="1">
        <v>17.81</v>
      </c>
      <c r="E39" s="1">
        <v>17.89</v>
      </c>
      <c r="F39" s="6">
        <f t="shared" si="1"/>
        <v>3</v>
      </c>
    </row>
    <row r="40" hidden="1">
      <c r="A40" s="2">
        <v>44369.0</v>
      </c>
      <c r="B40" s="1">
        <v>17.91</v>
      </c>
      <c r="C40" s="1">
        <v>18.32</v>
      </c>
      <c r="D40" s="1">
        <v>15.76</v>
      </c>
      <c r="E40" s="1">
        <v>16.66</v>
      </c>
      <c r="F40" s="6">
        <f t="shared" si="1"/>
        <v>4</v>
      </c>
    </row>
    <row r="41">
      <c r="A41" s="2">
        <v>44370.0</v>
      </c>
      <c r="B41" s="1">
        <v>16.25</v>
      </c>
      <c r="C41" s="1">
        <v>16.84</v>
      </c>
      <c r="D41" s="1">
        <v>14.86</v>
      </c>
      <c r="E41" s="1">
        <v>16.32</v>
      </c>
      <c r="F41" s="6">
        <f t="shared" si="1"/>
        <v>0</v>
      </c>
    </row>
    <row r="42" hidden="1">
      <c r="A42" s="2">
        <v>44371.0</v>
      </c>
      <c r="B42" s="1">
        <v>15.99</v>
      </c>
      <c r="C42" s="1">
        <v>16.05</v>
      </c>
      <c r="D42" s="1">
        <v>14.19</v>
      </c>
      <c r="E42" s="1">
        <v>15.97</v>
      </c>
      <c r="F42" s="6">
        <f t="shared" si="1"/>
        <v>1</v>
      </c>
    </row>
    <row r="43" hidden="1">
      <c r="A43" s="2">
        <v>44372.0</v>
      </c>
      <c r="B43" s="1">
        <v>16.04</v>
      </c>
      <c r="C43" s="1">
        <v>16.17</v>
      </c>
      <c r="D43" s="1">
        <v>15.21</v>
      </c>
      <c r="E43" s="1">
        <v>15.62</v>
      </c>
      <c r="F43" s="6">
        <f t="shared" si="1"/>
        <v>2</v>
      </c>
    </row>
    <row r="44" hidden="1">
      <c r="A44" s="2">
        <v>44375.0</v>
      </c>
      <c r="B44" s="1">
        <v>16.07</v>
      </c>
      <c r="C44" s="1">
        <v>16.46</v>
      </c>
      <c r="D44" s="1">
        <v>15.39</v>
      </c>
      <c r="E44" s="1">
        <v>15.76</v>
      </c>
      <c r="F44" s="6">
        <f t="shared" si="1"/>
        <v>3</v>
      </c>
    </row>
    <row r="45" hidden="1">
      <c r="A45" s="2">
        <v>44376.0</v>
      </c>
      <c r="B45" s="1">
        <v>15.69</v>
      </c>
      <c r="C45" s="1">
        <v>16.31</v>
      </c>
      <c r="D45" s="1">
        <v>14.1</v>
      </c>
      <c r="E45" s="1">
        <v>16.02</v>
      </c>
      <c r="F45" s="6">
        <f t="shared" si="1"/>
        <v>4</v>
      </c>
    </row>
    <row r="46">
      <c r="A46" s="2">
        <v>44377.0</v>
      </c>
      <c r="B46" s="1">
        <v>16.18</v>
      </c>
      <c r="C46" s="1">
        <v>17.31</v>
      </c>
      <c r="D46" s="1">
        <v>15.58</v>
      </c>
      <c r="E46" s="1">
        <v>15.83</v>
      </c>
      <c r="F46" s="6">
        <f t="shared" si="1"/>
        <v>0</v>
      </c>
    </row>
    <row r="47" hidden="1">
      <c r="A47" s="2">
        <v>44378.0</v>
      </c>
      <c r="B47" s="1">
        <v>15.62</v>
      </c>
      <c r="C47" s="1">
        <v>16.01</v>
      </c>
      <c r="D47" s="1">
        <v>15.31</v>
      </c>
      <c r="E47" s="1">
        <v>15.48</v>
      </c>
      <c r="F47" s="6">
        <f t="shared" si="1"/>
        <v>1</v>
      </c>
    </row>
    <row r="48" hidden="1">
      <c r="A48" s="2">
        <v>44379.0</v>
      </c>
      <c r="B48" s="1">
        <v>15.53</v>
      </c>
      <c r="C48" s="1">
        <v>15.54</v>
      </c>
      <c r="D48" s="1">
        <v>14.25</v>
      </c>
      <c r="E48" s="1">
        <v>15.07</v>
      </c>
      <c r="F48" s="6">
        <f t="shared" si="1"/>
        <v>2</v>
      </c>
    </row>
    <row r="49" hidden="1">
      <c r="A49" s="2">
        <v>44383.0</v>
      </c>
      <c r="B49" s="1">
        <v>15.77</v>
      </c>
      <c r="C49" s="1">
        <v>17.94</v>
      </c>
      <c r="D49" s="1">
        <v>15.73</v>
      </c>
      <c r="E49" s="1">
        <v>16.44</v>
      </c>
      <c r="F49" s="6">
        <f t="shared" si="1"/>
        <v>3</v>
      </c>
    </row>
    <row r="50" hidden="1">
      <c r="A50" s="2">
        <v>44384.0</v>
      </c>
      <c r="B50" s="1">
        <v>16.43</v>
      </c>
      <c r="C50" s="1">
        <v>17.64</v>
      </c>
      <c r="D50" s="1">
        <v>16.08</v>
      </c>
      <c r="E50" s="1">
        <v>16.2</v>
      </c>
      <c r="F50" s="6">
        <f t="shared" si="1"/>
        <v>4</v>
      </c>
    </row>
    <row r="51">
      <c r="A51" s="2">
        <v>44385.0</v>
      </c>
      <c r="B51" s="1">
        <v>17.74</v>
      </c>
      <c r="C51" s="1">
        <v>21.29</v>
      </c>
      <c r="D51" s="1">
        <v>17.74</v>
      </c>
      <c r="E51" s="1">
        <v>19.0</v>
      </c>
      <c r="F51" s="6">
        <f t="shared" si="1"/>
        <v>0</v>
      </c>
    </row>
    <row r="52" hidden="1">
      <c r="A52" s="2">
        <v>44386.0</v>
      </c>
      <c r="B52" s="1">
        <v>17.88</v>
      </c>
      <c r="C52" s="1">
        <v>18.13</v>
      </c>
      <c r="D52" s="1">
        <v>16.08</v>
      </c>
      <c r="E52" s="1">
        <v>16.18</v>
      </c>
      <c r="F52" s="6">
        <f t="shared" si="1"/>
        <v>1</v>
      </c>
    </row>
    <row r="53" hidden="1">
      <c r="A53" s="2">
        <v>44389.0</v>
      </c>
      <c r="B53" s="1">
        <v>16.85</v>
      </c>
      <c r="C53" s="1">
        <v>17.52</v>
      </c>
      <c r="D53" s="1">
        <v>16.14</v>
      </c>
      <c r="E53" s="1">
        <v>16.17</v>
      </c>
      <c r="F53" s="6">
        <f t="shared" si="1"/>
        <v>2</v>
      </c>
    </row>
    <row r="54" hidden="1">
      <c r="A54" s="2">
        <v>44390.0</v>
      </c>
      <c r="B54" s="1">
        <v>16.39</v>
      </c>
      <c r="C54" s="1">
        <v>17.23</v>
      </c>
      <c r="D54" s="1">
        <v>15.94</v>
      </c>
      <c r="E54" s="1">
        <v>17.12</v>
      </c>
      <c r="F54" s="6">
        <f t="shared" si="1"/>
        <v>3</v>
      </c>
    </row>
    <row r="55" hidden="1">
      <c r="A55" s="2">
        <v>44391.0</v>
      </c>
      <c r="B55" s="1">
        <v>17.34</v>
      </c>
      <c r="C55" s="1">
        <v>17.51</v>
      </c>
      <c r="D55" s="1">
        <v>15.95</v>
      </c>
      <c r="E55" s="1">
        <v>16.33</v>
      </c>
      <c r="F55" s="6">
        <f t="shared" si="1"/>
        <v>4</v>
      </c>
    </row>
    <row r="56">
      <c r="A56" s="2">
        <v>44392.0</v>
      </c>
      <c r="B56" s="1">
        <v>16.7</v>
      </c>
      <c r="C56" s="1">
        <v>18.09</v>
      </c>
      <c r="D56" s="1">
        <v>16.56</v>
      </c>
      <c r="E56" s="1">
        <v>17.01</v>
      </c>
      <c r="F56" s="6">
        <f t="shared" si="1"/>
        <v>0</v>
      </c>
    </row>
    <row r="57" hidden="1">
      <c r="A57" s="2">
        <v>44393.0</v>
      </c>
      <c r="B57" s="1">
        <v>16.8</v>
      </c>
      <c r="C57" s="1">
        <v>18.7</v>
      </c>
      <c r="D57" s="1">
        <v>16.03</v>
      </c>
      <c r="E57" s="1">
        <v>18.45</v>
      </c>
      <c r="F57" s="6">
        <f t="shared" si="1"/>
        <v>1</v>
      </c>
    </row>
    <row r="58" hidden="1">
      <c r="A58" s="2">
        <v>44396.0</v>
      </c>
      <c r="B58" s="1">
        <v>19.61</v>
      </c>
      <c r="C58" s="1">
        <v>25.09</v>
      </c>
      <c r="D58" s="1">
        <v>19.27</v>
      </c>
      <c r="E58" s="1">
        <v>22.5</v>
      </c>
      <c r="F58" s="6">
        <f t="shared" si="1"/>
        <v>2</v>
      </c>
    </row>
    <row r="59" hidden="1">
      <c r="A59" s="2">
        <v>44397.0</v>
      </c>
      <c r="B59" s="1">
        <v>20.89</v>
      </c>
      <c r="C59" s="1">
        <v>22.97</v>
      </c>
      <c r="D59" s="1">
        <v>19.37</v>
      </c>
      <c r="E59" s="1">
        <v>19.73</v>
      </c>
      <c r="F59" s="6">
        <f t="shared" si="1"/>
        <v>3</v>
      </c>
    </row>
    <row r="60" hidden="1">
      <c r="A60" s="2">
        <v>44398.0</v>
      </c>
      <c r="B60" s="1">
        <v>19.73</v>
      </c>
      <c r="C60" s="1">
        <v>19.82</v>
      </c>
      <c r="D60" s="1">
        <v>17.81</v>
      </c>
      <c r="E60" s="1">
        <v>17.91</v>
      </c>
      <c r="F60" s="6">
        <f t="shared" si="1"/>
        <v>4</v>
      </c>
    </row>
    <row r="61">
      <c r="A61" s="2">
        <v>44399.0</v>
      </c>
      <c r="B61" s="1">
        <v>17.59</v>
      </c>
      <c r="C61" s="1">
        <v>18.45</v>
      </c>
      <c r="D61" s="1">
        <v>17.4</v>
      </c>
      <c r="E61" s="1">
        <v>17.69</v>
      </c>
      <c r="F61" s="6">
        <f t="shared" si="1"/>
        <v>0</v>
      </c>
    </row>
    <row r="62" hidden="1">
      <c r="A62" s="2">
        <v>44400.0</v>
      </c>
      <c r="B62" s="1">
        <v>16.98</v>
      </c>
      <c r="C62" s="1">
        <v>17.48</v>
      </c>
      <c r="D62" s="1">
        <v>16.33</v>
      </c>
      <c r="E62" s="1">
        <v>17.2</v>
      </c>
      <c r="F62" s="6">
        <f t="shared" si="1"/>
        <v>1</v>
      </c>
    </row>
    <row r="63" hidden="1">
      <c r="A63" s="2">
        <v>44403.0</v>
      </c>
      <c r="B63" s="1">
        <v>18.67</v>
      </c>
      <c r="C63" s="1">
        <v>19.39</v>
      </c>
      <c r="D63" s="1">
        <v>17.53</v>
      </c>
      <c r="E63" s="1">
        <v>17.58</v>
      </c>
      <c r="F63" s="6">
        <f t="shared" si="1"/>
        <v>2</v>
      </c>
    </row>
    <row r="64" hidden="1">
      <c r="A64" s="2">
        <v>44404.0</v>
      </c>
      <c r="B64" s="1">
        <v>18.62</v>
      </c>
      <c r="C64" s="1">
        <v>20.44</v>
      </c>
      <c r="D64" s="1">
        <v>18.25</v>
      </c>
      <c r="E64" s="1">
        <v>19.36</v>
      </c>
      <c r="F64" s="6">
        <f t="shared" si="1"/>
        <v>3</v>
      </c>
    </row>
    <row r="65" hidden="1">
      <c r="A65" s="2">
        <v>44405.0</v>
      </c>
      <c r="B65" s="1">
        <v>19.41</v>
      </c>
      <c r="C65" s="1">
        <v>19.62</v>
      </c>
      <c r="D65" s="1">
        <v>17.52</v>
      </c>
      <c r="E65" s="1">
        <v>18.31</v>
      </c>
      <c r="F65" s="6">
        <f t="shared" si="1"/>
        <v>4</v>
      </c>
    </row>
    <row r="66">
      <c r="A66" s="2">
        <v>44406.0</v>
      </c>
      <c r="B66" s="1">
        <v>17.91</v>
      </c>
      <c r="C66" s="1">
        <v>18.01</v>
      </c>
      <c r="D66" s="1">
        <v>17.19</v>
      </c>
      <c r="E66" s="1">
        <v>17.7</v>
      </c>
      <c r="F66" s="6">
        <f t="shared" si="1"/>
        <v>0</v>
      </c>
    </row>
    <row r="67" hidden="1">
      <c r="A67" s="2">
        <v>44407.0</v>
      </c>
      <c r="B67" s="1">
        <v>19.69</v>
      </c>
      <c r="C67" s="1">
        <v>19.72</v>
      </c>
      <c r="D67" s="1">
        <v>17.53</v>
      </c>
      <c r="E67" s="1">
        <v>18.24</v>
      </c>
      <c r="F67" s="6">
        <f t="shared" si="1"/>
        <v>1</v>
      </c>
    </row>
    <row r="68" hidden="1">
      <c r="A68" s="2">
        <v>44410.0</v>
      </c>
      <c r="B68" s="1">
        <v>18.16</v>
      </c>
      <c r="C68" s="1">
        <v>19.87</v>
      </c>
      <c r="D68" s="1">
        <v>17.99</v>
      </c>
      <c r="E68" s="1">
        <v>19.46</v>
      </c>
      <c r="F68" s="6">
        <f t="shared" si="1"/>
        <v>2</v>
      </c>
    </row>
    <row r="69" hidden="1">
      <c r="A69" s="2">
        <v>44411.0</v>
      </c>
      <c r="B69" s="1">
        <v>19.17</v>
      </c>
      <c r="C69" s="1">
        <v>20.44</v>
      </c>
      <c r="D69" s="1">
        <v>17.7</v>
      </c>
      <c r="E69" s="1">
        <v>18.04</v>
      </c>
      <c r="F69" s="6">
        <f t="shared" si="1"/>
        <v>3</v>
      </c>
    </row>
    <row r="70" hidden="1">
      <c r="A70" s="2">
        <v>44412.0</v>
      </c>
      <c r="B70" s="1">
        <v>18.23</v>
      </c>
      <c r="C70" s="1">
        <v>18.9</v>
      </c>
      <c r="D70" s="1">
        <v>17.67</v>
      </c>
      <c r="E70" s="1">
        <v>17.97</v>
      </c>
      <c r="F70" s="6">
        <f t="shared" si="1"/>
        <v>4</v>
      </c>
    </row>
    <row r="71">
      <c r="A71" s="2">
        <v>44413.0</v>
      </c>
      <c r="B71" s="1">
        <v>17.73</v>
      </c>
      <c r="C71" s="1">
        <v>17.84</v>
      </c>
      <c r="D71" s="1">
        <v>17.23</v>
      </c>
      <c r="E71" s="1">
        <v>17.28</v>
      </c>
      <c r="F71" s="6">
        <f t="shared" si="1"/>
        <v>0</v>
      </c>
    </row>
    <row r="72" hidden="1">
      <c r="A72" s="2">
        <v>44414.0</v>
      </c>
      <c r="B72" s="1">
        <v>17.46</v>
      </c>
      <c r="C72" s="1">
        <v>17.5</v>
      </c>
      <c r="D72" s="1">
        <v>16.14</v>
      </c>
      <c r="E72" s="1">
        <v>16.15</v>
      </c>
      <c r="F72" s="6">
        <f t="shared" si="1"/>
        <v>1</v>
      </c>
    </row>
    <row r="73" hidden="1">
      <c r="A73" s="2">
        <v>44417.0</v>
      </c>
      <c r="B73" s="1">
        <v>17.12</v>
      </c>
      <c r="C73" s="1">
        <v>17.39</v>
      </c>
      <c r="D73" s="1">
        <v>16.59</v>
      </c>
      <c r="E73" s="1">
        <v>16.72</v>
      </c>
      <c r="F73" s="6">
        <f t="shared" si="1"/>
        <v>2</v>
      </c>
    </row>
    <row r="74" hidden="1">
      <c r="A74" s="2">
        <v>44418.0</v>
      </c>
      <c r="B74" s="1">
        <v>16.82</v>
      </c>
      <c r="C74" s="1">
        <v>17.05</v>
      </c>
      <c r="D74" s="1">
        <v>16.34</v>
      </c>
      <c r="E74" s="1">
        <v>16.79</v>
      </c>
      <c r="F74" s="6">
        <f t="shared" si="1"/>
        <v>3</v>
      </c>
    </row>
    <row r="75" hidden="1">
      <c r="A75" s="2">
        <v>44419.0</v>
      </c>
      <c r="B75" s="1">
        <v>16.81</v>
      </c>
      <c r="C75" s="1">
        <v>17.09</v>
      </c>
      <c r="D75" s="1">
        <v>15.87</v>
      </c>
      <c r="E75" s="1">
        <v>16.06</v>
      </c>
      <c r="F75" s="6">
        <f t="shared" si="1"/>
        <v>4</v>
      </c>
    </row>
    <row r="76">
      <c r="A76" s="2">
        <v>44420.0</v>
      </c>
      <c r="B76" s="1">
        <v>16.33</v>
      </c>
      <c r="C76" s="1">
        <v>16.42</v>
      </c>
      <c r="D76" s="1">
        <v>15.49</v>
      </c>
      <c r="E76" s="1">
        <v>15.59</v>
      </c>
      <c r="F76" s="6">
        <f t="shared" si="1"/>
        <v>0</v>
      </c>
    </row>
    <row r="77" hidden="1">
      <c r="A77" s="2">
        <v>44421.0</v>
      </c>
      <c r="B77" s="1">
        <v>15.68</v>
      </c>
      <c r="C77" s="1">
        <v>15.72</v>
      </c>
      <c r="D77" s="1">
        <v>15.19</v>
      </c>
      <c r="E77" s="1">
        <v>15.45</v>
      </c>
      <c r="F77" s="6">
        <f t="shared" si="1"/>
        <v>1</v>
      </c>
    </row>
    <row r="78" hidden="1">
      <c r="A78" s="2">
        <v>44424.0</v>
      </c>
      <c r="B78" s="1">
        <v>17.05</v>
      </c>
      <c r="C78" s="1">
        <v>17.71</v>
      </c>
      <c r="D78" s="1">
        <v>16.02</v>
      </c>
      <c r="E78" s="1">
        <v>16.12</v>
      </c>
      <c r="F78" s="6">
        <f t="shared" si="1"/>
        <v>2</v>
      </c>
    </row>
    <row r="79" hidden="1">
      <c r="A79" s="2">
        <v>44425.0</v>
      </c>
      <c r="B79" s="1">
        <v>17.31</v>
      </c>
      <c r="C79" s="1">
        <v>19.56</v>
      </c>
      <c r="D79" s="1">
        <v>16.71</v>
      </c>
      <c r="E79" s="1">
        <v>17.91</v>
      </c>
      <c r="F79" s="6">
        <f t="shared" si="1"/>
        <v>3</v>
      </c>
    </row>
    <row r="80" hidden="1">
      <c r="A80" s="2">
        <v>44426.0</v>
      </c>
      <c r="B80" s="1">
        <v>17.56</v>
      </c>
      <c r="C80" s="1">
        <v>21.64</v>
      </c>
      <c r="D80" s="1">
        <v>17.31</v>
      </c>
      <c r="E80" s="1">
        <v>21.57</v>
      </c>
      <c r="F80" s="6">
        <f t="shared" si="1"/>
        <v>4</v>
      </c>
    </row>
    <row r="81">
      <c r="A81" s="2">
        <v>44427.0</v>
      </c>
      <c r="B81" s="1">
        <v>23.12</v>
      </c>
      <c r="C81" s="1">
        <v>24.74</v>
      </c>
      <c r="D81" s="1">
        <v>20.37</v>
      </c>
      <c r="E81" s="1">
        <v>21.67</v>
      </c>
      <c r="F81" s="6">
        <f t="shared" si="1"/>
        <v>0</v>
      </c>
    </row>
    <row r="82" hidden="1">
      <c r="A82" s="2">
        <v>44428.0</v>
      </c>
      <c r="B82" s="1">
        <v>22.74</v>
      </c>
      <c r="C82" s="1">
        <v>23.9</v>
      </c>
      <c r="D82" s="1">
        <v>18.18</v>
      </c>
      <c r="E82" s="1">
        <v>18.56</v>
      </c>
      <c r="F82" s="6">
        <f t="shared" si="1"/>
        <v>1</v>
      </c>
    </row>
    <row r="83" hidden="1">
      <c r="A83" s="2">
        <v>44431.0</v>
      </c>
      <c r="B83" s="1">
        <v>18.83</v>
      </c>
      <c r="C83" s="1">
        <v>18.95</v>
      </c>
      <c r="D83" s="1">
        <v>16.95</v>
      </c>
      <c r="E83" s="1">
        <v>17.15</v>
      </c>
      <c r="F83" s="6">
        <f t="shared" si="1"/>
        <v>2</v>
      </c>
    </row>
    <row r="84" hidden="1">
      <c r="A84" s="2">
        <v>44432.0</v>
      </c>
      <c r="B84" s="1">
        <v>16.96</v>
      </c>
      <c r="C84" s="1">
        <v>17.51</v>
      </c>
      <c r="D84" s="1">
        <v>16.94</v>
      </c>
      <c r="E84" s="1">
        <v>17.22</v>
      </c>
      <c r="F84" s="6">
        <f t="shared" si="1"/>
        <v>3</v>
      </c>
    </row>
    <row r="85" hidden="1">
      <c r="A85" s="2">
        <v>44433.0</v>
      </c>
      <c r="B85" s="1">
        <v>17.42</v>
      </c>
      <c r="C85" s="1">
        <v>17.5</v>
      </c>
      <c r="D85" s="1">
        <v>16.46</v>
      </c>
      <c r="E85" s="1">
        <v>16.79</v>
      </c>
      <c r="F85" s="6">
        <f t="shared" si="1"/>
        <v>4</v>
      </c>
    </row>
    <row r="86">
      <c r="A86" s="2">
        <v>44434.0</v>
      </c>
      <c r="B86" s="1">
        <v>17.46</v>
      </c>
      <c r="C86" s="1">
        <v>19.27</v>
      </c>
      <c r="D86" s="1">
        <v>17.16</v>
      </c>
      <c r="E86" s="1">
        <v>18.84</v>
      </c>
      <c r="F86" s="6">
        <f t="shared" si="1"/>
        <v>0</v>
      </c>
    </row>
    <row r="87" hidden="1">
      <c r="A87" s="2">
        <v>44435.0</v>
      </c>
      <c r="B87" s="1">
        <v>17.95</v>
      </c>
      <c r="C87" s="1">
        <v>18.22</v>
      </c>
      <c r="D87" s="1">
        <v>16.11</v>
      </c>
      <c r="E87" s="1">
        <v>16.39</v>
      </c>
      <c r="F87" s="6">
        <f t="shared" si="1"/>
        <v>1</v>
      </c>
    </row>
    <row r="88" hidden="1">
      <c r="A88" s="2">
        <v>44438.0</v>
      </c>
      <c r="B88" s="1">
        <v>16.77</v>
      </c>
      <c r="C88" s="1">
        <v>16.8</v>
      </c>
      <c r="D88" s="1">
        <v>15.98</v>
      </c>
      <c r="E88" s="1">
        <v>16.19</v>
      </c>
      <c r="F88" s="6">
        <f t="shared" si="1"/>
        <v>2</v>
      </c>
    </row>
    <row r="89" hidden="1">
      <c r="A89" s="2">
        <v>44439.0</v>
      </c>
      <c r="B89" s="1">
        <v>15.98</v>
      </c>
      <c r="C89" s="1">
        <v>17.07</v>
      </c>
      <c r="D89" s="1">
        <v>15.91</v>
      </c>
      <c r="E89" s="1">
        <v>16.48</v>
      </c>
      <c r="F89" s="6">
        <f t="shared" si="1"/>
        <v>3</v>
      </c>
    </row>
    <row r="90" hidden="1">
      <c r="A90" s="2">
        <v>44440.0</v>
      </c>
      <c r="B90" s="1">
        <v>16.06</v>
      </c>
      <c r="C90" s="1">
        <v>16.71</v>
      </c>
      <c r="D90" s="1">
        <v>15.68</v>
      </c>
      <c r="E90" s="1">
        <v>16.11</v>
      </c>
      <c r="F90" s="6">
        <f t="shared" si="1"/>
        <v>4</v>
      </c>
    </row>
    <row r="91">
      <c r="A91" s="2">
        <v>44441.0</v>
      </c>
      <c r="B91" s="1">
        <v>16.27</v>
      </c>
      <c r="C91" s="1">
        <v>16.98</v>
      </c>
      <c r="D91" s="1">
        <v>15.73</v>
      </c>
      <c r="E91" s="1">
        <v>16.41</v>
      </c>
      <c r="F91" s="6">
        <f t="shared" si="1"/>
        <v>0</v>
      </c>
    </row>
    <row r="92" hidden="1">
      <c r="A92" s="2">
        <v>44442.0</v>
      </c>
      <c r="B92" s="1">
        <v>16.27</v>
      </c>
      <c r="C92" s="1">
        <v>17.06</v>
      </c>
      <c r="D92" s="1">
        <v>16.08</v>
      </c>
      <c r="E92" s="1">
        <v>16.41</v>
      </c>
      <c r="F92" s="6">
        <f t="shared" si="1"/>
        <v>1</v>
      </c>
    </row>
    <row r="93" hidden="1">
      <c r="A93" s="2">
        <v>44446.0</v>
      </c>
      <c r="B93" s="1">
        <v>16.94</v>
      </c>
      <c r="C93" s="1">
        <v>18.39</v>
      </c>
      <c r="D93" s="1">
        <v>16.89</v>
      </c>
      <c r="E93" s="1">
        <v>18.14</v>
      </c>
      <c r="F93" s="6">
        <f t="shared" si="1"/>
        <v>2</v>
      </c>
    </row>
    <row r="94" hidden="1">
      <c r="A94" s="2">
        <v>44447.0</v>
      </c>
      <c r="B94" s="1">
        <v>18.97</v>
      </c>
      <c r="C94" s="1">
        <v>19.64</v>
      </c>
      <c r="D94" s="1">
        <v>17.78</v>
      </c>
      <c r="E94" s="1">
        <v>17.96</v>
      </c>
      <c r="F94" s="6">
        <f t="shared" si="1"/>
        <v>3</v>
      </c>
    </row>
    <row r="95" hidden="1">
      <c r="A95" s="2">
        <v>44448.0</v>
      </c>
      <c r="B95" s="1">
        <v>19.44</v>
      </c>
      <c r="C95" s="1">
        <v>19.54</v>
      </c>
      <c r="D95" s="1">
        <v>17.17</v>
      </c>
      <c r="E95" s="1">
        <v>18.8</v>
      </c>
      <c r="F95" s="6">
        <f t="shared" si="1"/>
        <v>4</v>
      </c>
    </row>
    <row r="96">
      <c r="A96" s="2">
        <v>44449.0</v>
      </c>
      <c r="B96" s="1">
        <v>17.94</v>
      </c>
      <c r="C96" s="1">
        <v>21.13</v>
      </c>
      <c r="D96" s="1">
        <v>16.99</v>
      </c>
      <c r="E96" s="1">
        <v>20.95</v>
      </c>
      <c r="F96" s="6">
        <f t="shared" si="1"/>
        <v>0</v>
      </c>
    </row>
    <row r="97" hidden="1">
      <c r="A97" s="2">
        <v>44452.0</v>
      </c>
      <c r="B97" s="1">
        <v>19.64</v>
      </c>
      <c r="C97" s="1">
        <v>21.18</v>
      </c>
      <c r="D97" s="1">
        <v>18.76</v>
      </c>
      <c r="E97" s="1">
        <v>19.37</v>
      </c>
      <c r="F97" s="6">
        <f t="shared" si="1"/>
        <v>1</v>
      </c>
    </row>
    <row r="98" hidden="1">
      <c r="A98" s="2">
        <v>44453.0</v>
      </c>
      <c r="B98" s="1">
        <v>19.58</v>
      </c>
      <c r="C98" s="1">
        <v>20.47</v>
      </c>
      <c r="D98" s="1">
        <v>18.39</v>
      </c>
      <c r="E98" s="1">
        <v>19.46</v>
      </c>
      <c r="F98" s="6">
        <f t="shared" si="1"/>
        <v>2</v>
      </c>
    </row>
    <row r="99" hidden="1">
      <c r="A99" s="2">
        <v>44454.0</v>
      </c>
      <c r="B99" s="1">
        <v>19.3</v>
      </c>
      <c r="C99" s="1">
        <v>20.27</v>
      </c>
      <c r="D99" s="1">
        <v>18.01</v>
      </c>
      <c r="E99" s="1">
        <v>18.18</v>
      </c>
      <c r="F99" s="6">
        <f t="shared" si="1"/>
        <v>3</v>
      </c>
    </row>
    <row r="100" hidden="1">
      <c r="A100" s="2">
        <v>44455.0</v>
      </c>
      <c r="B100" s="1">
        <v>18.41</v>
      </c>
      <c r="C100" s="1">
        <v>19.76</v>
      </c>
      <c r="D100" s="1">
        <v>17.65</v>
      </c>
      <c r="E100" s="1">
        <v>18.69</v>
      </c>
      <c r="F100" s="6">
        <f t="shared" si="1"/>
        <v>4</v>
      </c>
    </row>
    <row r="101">
      <c r="A101" s="2">
        <v>44456.0</v>
      </c>
      <c r="B101" s="1">
        <v>18.37</v>
      </c>
      <c r="C101" s="1">
        <v>21.51</v>
      </c>
      <c r="D101" s="1">
        <v>18.35</v>
      </c>
      <c r="E101" s="1">
        <v>20.81</v>
      </c>
      <c r="F101" s="6">
        <f t="shared" si="1"/>
        <v>0</v>
      </c>
    </row>
    <row r="102" hidden="1">
      <c r="A102" s="2">
        <v>44459.0</v>
      </c>
      <c r="B102" s="1">
        <v>24.25</v>
      </c>
      <c r="C102" s="1">
        <v>28.79</v>
      </c>
      <c r="D102" s="1">
        <v>23.9</v>
      </c>
      <c r="E102" s="1">
        <v>25.71</v>
      </c>
      <c r="F102" s="6">
        <f t="shared" si="1"/>
        <v>1</v>
      </c>
    </row>
    <row r="103" hidden="1">
      <c r="A103" s="2">
        <v>44460.0</v>
      </c>
      <c r="B103" s="1">
        <v>23.41</v>
      </c>
      <c r="C103" s="1">
        <v>25.6</v>
      </c>
      <c r="D103" s="1">
        <v>21.71</v>
      </c>
      <c r="E103" s="1">
        <v>24.36</v>
      </c>
      <c r="F103" s="6">
        <f t="shared" si="1"/>
        <v>2</v>
      </c>
    </row>
    <row r="104" hidden="1">
      <c r="A104" s="2">
        <v>44461.0</v>
      </c>
      <c r="B104" s="1">
        <v>22.72</v>
      </c>
      <c r="C104" s="1">
        <v>23.4</v>
      </c>
      <c r="D104" s="1">
        <v>20.75</v>
      </c>
      <c r="E104" s="1">
        <v>20.87</v>
      </c>
      <c r="F104" s="6">
        <f t="shared" si="1"/>
        <v>3</v>
      </c>
    </row>
    <row r="105" hidden="1">
      <c r="A105" s="2">
        <v>44462.0</v>
      </c>
      <c r="B105" s="1">
        <v>19.91</v>
      </c>
      <c r="C105" s="1">
        <v>20.21</v>
      </c>
      <c r="D105" s="1">
        <v>18.42</v>
      </c>
      <c r="E105" s="1">
        <v>18.63</v>
      </c>
      <c r="F105" s="6">
        <f t="shared" si="1"/>
        <v>4</v>
      </c>
    </row>
    <row r="106">
      <c r="A106" s="2">
        <v>44463.0</v>
      </c>
      <c r="B106" s="1">
        <v>19.33</v>
      </c>
      <c r="C106" s="1">
        <v>20.41</v>
      </c>
      <c r="D106" s="1">
        <v>17.63</v>
      </c>
      <c r="E106" s="1">
        <v>17.75</v>
      </c>
      <c r="F106" s="6">
        <f t="shared" si="1"/>
        <v>0</v>
      </c>
    </row>
    <row r="107" hidden="1">
      <c r="A107" s="2">
        <v>44466.0</v>
      </c>
      <c r="B107" s="1">
        <v>17.78</v>
      </c>
      <c r="C107" s="1">
        <v>19.32</v>
      </c>
      <c r="D107" s="1">
        <v>17.74</v>
      </c>
      <c r="E107" s="1">
        <v>18.76</v>
      </c>
      <c r="F107" s="6">
        <f t="shared" si="1"/>
        <v>1</v>
      </c>
    </row>
    <row r="108" hidden="1">
      <c r="A108" s="2">
        <v>44467.0</v>
      </c>
      <c r="B108" s="1">
        <v>19.74</v>
      </c>
      <c r="C108" s="1">
        <v>24.82</v>
      </c>
      <c r="D108" s="1">
        <v>19.71</v>
      </c>
      <c r="E108" s="1">
        <v>23.25</v>
      </c>
      <c r="F108" s="6">
        <f t="shared" si="1"/>
        <v>2</v>
      </c>
    </row>
    <row r="109" hidden="1">
      <c r="A109" s="2">
        <v>44468.0</v>
      </c>
      <c r="B109" s="1">
        <v>22.07</v>
      </c>
      <c r="C109" s="1">
        <v>23.79</v>
      </c>
      <c r="D109" s="1">
        <v>21.45</v>
      </c>
      <c r="E109" s="1">
        <v>22.56</v>
      </c>
      <c r="F109" s="6">
        <f t="shared" si="1"/>
        <v>3</v>
      </c>
    </row>
    <row r="110" hidden="1">
      <c r="A110" s="2">
        <v>44469.0</v>
      </c>
      <c r="B110" s="1">
        <v>21.48</v>
      </c>
      <c r="C110" s="1">
        <v>24.71</v>
      </c>
      <c r="D110" s="1">
        <v>20.6</v>
      </c>
      <c r="E110" s="1">
        <v>23.14</v>
      </c>
      <c r="F110" s="6">
        <f t="shared" si="1"/>
        <v>4</v>
      </c>
    </row>
    <row r="111">
      <c r="A111" s="2">
        <v>44470.0</v>
      </c>
      <c r="B111" s="1">
        <v>24.78</v>
      </c>
      <c r="C111" s="1">
        <v>24.89</v>
      </c>
      <c r="D111" s="1">
        <v>20.64</v>
      </c>
      <c r="E111" s="1">
        <v>21.15</v>
      </c>
      <c r="F111" s="6">
        <f t="shared" si="1"/>
        <v>0</v>
      </c>
    </row>
    <row r="112" hidden="1">
      <c r="A112" s="2">
        <v>44473.0</v>
      </c>
      <c r="B112" s="1">
        <v>22.9</v>
      </c>
      <c r="C112" s="1">
        <v>24.58</v>
      </c>
      <c r="D112" s="1">
        <v>21.88</v>
      </c>
      <c r="E112" s="1">
        <v>22.96</v>
      </c>
      <c r="F112" s="6">
        <f t="shared" si="1"/>
        <v>1</v>
      </c>
    </row>
    <row r="113" hidden="1">
      <c r="A113" s="2">
        <v>44474.0</v>
      </c>
      <c r="B113" s="1">
        <v>22.92</v>
      </c>
      <c r="C113" s="1">
        <v>23.17</v>
      </c>
      <c r="D113" s="1">
        <v>20.62</v>
      </c>
      <c r="E113" s="1">
        <v>21.3</v>
      </c>
      <c r="F113" s="6">
        <f t="shared" si="1"/>
        <v>2</v>
      </c>
    </row>
    <row r="114" hidden="1">
      <c r="A114" s="2">
        <v>44475.0</v>
      </c>
      <c r="B114" s="1">
        <v>22.95</v>
      </c>
      <c r="C114" s="1">
        <v>24.4</v>
      </c>
      <c r="D114" s="1">
        <v>20.99</v>
      </c>
      <c r="E114" s="1">
        <v>21.0</v>
      </c>
      <c r="F114" s="6">
        <f t="shared" si="1"/>
        <v>3</v>
      </c>
    </row>
    <row r="115" hidden="1">
      <c r="A115" s="2">
        <v>44476.0</v>
      </c>
      <c r="B115" s="1">
        <v>20.54</v>
      </c>
      <c r="C115" s="1">
        <v>20.76</v>
      </c>
      <c r="D115" s="1">
        <v>19.07</v>
      </c>
      <c r="E115" s="1">
        <v>19.54</v>
      </c>
      <c r="F115" s="6">
        <f t="shared" si="1"/>
        <v>4</v>
      </c>
    </row>
    <row r="116">
      <c r="A116" s="2">
        <v>44477.0</v>
      </c>
      <c r="B116" s="1">
        <v>19.46</v>
      </c>
      <c r="C116" s="1">
        <v>19.94</v>
      </c>
      <c r="D116" s="1">
        <v>18.2</v>
      </c>
      <c r="E116" s="1">
        <v>18.77</v>
      </c>
      <c r="F116" s="6">
        <f t="shared" si="1"/>
        <v>0</v>
      </c>
    </row>
    <row r="117" hidden="1">
      <c r="A117" s="5">
        <v>44480.0</v>
      </c>
      <c r="B117" s="1">
        <v>19.93</v>
      </c>
      <c r="C117" s="1">
        <v>20.45</v>
      </c>
      <c r="D117" s="1">
        <v>18.11</v>
      </c>
      <c r="E117" s="1">
        <v>20.0</v>
      </c>
      <c r="F117" s="6">
        <f t="shared" si="1"/>
        <v>1</v>
      </c>
    </row>
    <row r="118" hidden="1">
      <c r="A118" s="5">
        <v>44481.0</v>
      </c>
      <c r="B118" s="1">
        <v>20.62</v>
      </c>
      <c r="C118" s="1">
        <v>20.81</v>
      </c>
      <c r="D118" s="1">
        <v>18.97</v>
      </c>
      <c r="E118" s="1">
        <v>19.85</v>
      </c>
      <c r="F118" s="6">
        <f t="shared" si="1"/>
        <v>2</v>
      </c>
    </row>
    <row r="119" hidden="1">
      <c r="A119" s="5">
        <v>44482.0</v>
      </c>
      <c r="B119" s="1">
        <v>20.14</v>
      </c>
      <c r="C119" s="1">
        <v>20.23</v>
      </c>
      <c r="D119" s="1">
        <v>18.44</v>
      </c>
      <c r="E119" s="1">
        <v>18.64</v>
      </c>
      <c r="F119" s="6">
        <f t="shared" si="1"/>
        <v>3</v>
      </c>
    </row>
    <row r="120" hidden="1">
      <c r="A120" s="5">
        <v>44483.0</v>
      </c>
      <c r="B120" s="1">
        <v>18.01</v>
      </c>
      <c r="C120" s="1">
        <v>18.08</v>
      </c>
      <c r="D120" s="1">
        <v>16.8</v>
      </c>
      <c r="E120" s="1">
        <v>16.86</v>
      </c>
      <c r="F120" s="6">
        <f t="shared" si="1"/>
        <v>4</v>
      </c>
    </row>
    <row r="121">
      <c r="A121" s="5">
        <v>44484.0</v>
      </c>
      <c r="B121" s="1">
        <v>16.64</v>
      </c>
      <c r="C121" s="1">
        <v>16.85</v>
      </c>
      <c r="D121" s="1">
        <v>15.72</v>
      </c>
      <c r="E121" s="1">
        <v>16.3</v>
      </c>
      <c r="F121" s="6">
        <f t="shared" si="1"/>
        <v>0</v>
      </c>
    </row>
    <row r="122" hidden="1">
      <c r="A122" s="5">
        <v>44487.0</v>
      </c>
      <c r="B122" s="1">
        <v>17.29</v>
      </c>
      <c r="C122" s="1">
        <v>17.93</v>
      </c>
      <c r="D122" s="1">
        <v>16.27</v>
      </c>
      <c r="E122" s="1">
        <v>16.31</v>
      </c>
      <c r="F122" s="6">
        <f t="shared" si="1"/>
        <v>1</v>
      </c>
    </row>
    <row r="123" hidden="1">
      <c r="A123" s="5">
        <v>44488.0</v>
      </c>
      <c r="B123" s="1">
        <v>16.09</v>
      </c>
      <c r="C123" s="1">
        <v>16.31</v>
      </c>
      <c r="D123" s="1">
        <v>15.57</v>
      </c>
      <c r="E123" s="1">
        <v>15.7</v>
      </c>
      <c r="F123" s="6">
        <f t="shared" si="1"/>
        <v>2</v>
      </c>
    </row>
    <row r="124" hidden="1">
      <c r="A124" s="5">
        <v>44489.0</v>
      </c>
      <c r="B124" s="1">
        <v>15.82</v>
      </c>
      <c r="C124" s="1">
        <v>15.89</v>
      </c>
      <c r="D124" s="1">
        <v>15.29</v>
      </c>
      <c r="E124" s="1">
        <v>15.49</v>
      </c>
      <c r="F124" s="6">
        <f t="shared" si="1"/>
        <v>3</v>
      </c>
    </row>
    <row r="125" hidden="1">
      <c r="A125" s="5">
        <v>44490.0</v>
      </c>
      <c r="B125" s="1">
        <v>16.06</v>
      </c>
      <c r="C125" s="1">
        <v>16.11</v>
      </c>
      <c r="D125" s="1">
        <v>14.92</v>
      </c>
      <c r="E125" s="1">
        <v>15.01</v>
      </c>
      <c r="F125" s="6">
        <f t="shared" si="1"/>
        <v>4</v>
      </c>
    </row>
    <row r="126">
      <c r="A126" s="5">
        <v>44491.0</v>
      </c>
      <c r="B126" s="1">
        <v>15.35</v>
      </c>
      <c r="C126" s="1">
        <v>16.39</v>
      </c>
      <c r="D126" s="1">
        <v>14.84</v>
      </c>
      <c r="E126" s="1">
        <v>15.43</v>
      </c>
      <c r="F126" s="6">
        <f t="shared" si="1"/>
        <v>0</v>
      </c>
    </row>
    <row r="127" hidden="1">
      <c r="A127" s="5">
        <v>44494.0</v>
      </c>
      <c r="B127" s="1">
        <v>16.14</v>
      </c>
      <c r="C127" s="1">
        <v>16.33</v>
      </c>
      <c r="D127" s="1">
        <v>15.1</v>
      </c>
      <c r="E127" s="1">
        <v>15.24</v>
      </c>
      <c r="F127" s="6">
        <f t="shared" si="1"/>
        <v>1</v>
      </c>
    </row>
    <row r="128" hidden="1">
      <c r="A128" s="5">
        <v>44495.0</v>
      </c>
      <c r="B128" s="1">
        <v>15.02</v>
      </c>
      <c r="C128" s="1">
        <v>16.71</v>
      </c>
      <c r="D128" s="1">
        <v>14.9</v>
      </c>
      <c r="E128" s="1">
        <v>15.98</v>
      </c>
      <c r="F128" s="6">
        <f t="shared" si="1"/>
        <v>2</v>
      </c>
    </row>
    <row r="129" hidden="1">
      <c r="A129" s="5">
        <v>44496.0</v>
      </c>
      <c r="B129" s="1">
        <v>15.79</v>
      </c>
      <c r="C129" s="1">
        <v>17.29</v>
      </c>
      <c r="D129" s="1">
        <v>15.54</v>
      </c>
      <c r="E129" s="1">
        <v>16.98</v>
      </c>
      <c r="F129" s="6">
        <f t="shared" si="1"/>
        <v>3</v>
      </c>
    </row>
    <row r="130" hidden="1">
      <c r="A130" s="5">
        <v>44497.0</v>
      </c>
      <c r="B130" s="1">
        <v>17.06</v>
      </c>
      <c r="C130" s="1">
        <v>17.16</v>
      </c>
      <c r="D130" s="1">
        <v>16.23</v>
      </c>
      <c r="E130" s="1">
        <v>16.53</v>
      </c>
      <c r="F130" s="6">
        <f t="shared" si="1"/>
        <v>4</v>
      </c>
    </row>
    <row r="131">
      <c r="A131" s="5">
        <v>44498.0</v>
      </c>
      <c r="B131" s="1">
        <v>17.4</v>
      </c>
      <c r="C131" s="1">
        <v>18.06</v>
      </c>
      <c r="D131" s="1">
        <v>16.13</v>
      </c>
      <c r="E131" s="1">
        <v>16.26</v>
      </c>
      <c r="F131" s="6">
        <f t="shared" si="1"/>
        <v>0</v>
      </c>
    </row>
    <row r="132" hidden="1">
      <c r="A132" s="2">
        <v>44501.0</v>
      </c>
      <c r="B132" s="1">
        <v>16.85</v>
      </c>
      <c r="C132" s="1">
        <v>17.7</v>
      </c>
      <c r="D132" s="1">
        <v>16.32</v>
      </c>
      <c r="E132" s="1">
        <v>16.41</v>
      </c>
      <c r="F132" s="6">
        <f t="shared" si="1"/>
        <v>1</v>
      </c>
    </row>
    <row r="133" hidden="1">
      <c r="A133" s="2">
        <v>44502.0</v>
      </c>
      <c r="B133" s="1">
        <v>16.54</v>
      </c>
      <c r="C133" s="1">
        <v>16.65</v>
      </c>
      <c r="D133" s="1">
        <v>15.89</v>
      </c>
      <c r="E133" s="1">
        <v>16.03</v>
      </c>
      <c r="F133" s="6">
        <f t="shared" si="1"/>
        <v>2</v>
      </c>
    </row>
    <row r="134" hidden="1">
      <c r="A134" s="2">
        <v>44503.0</v>
      </c>
      <c r="B134" s="1">
        <v>16.11</v>
      </c>
      <c r="C134" s="1">
        <v>16.39</v>
      </c>
      <c r="D134" s="1">
        <v>14.9</v>
      </c>
      <c r="E134" s="1">
        <v>15.1</v>
      </c>
      <c r="F134" s="6">
        <f t="shared" si="1"/>
        <v>3</v>
      </c>
    </row>
    <row r="135" hidden="1">
      <c r="A135" s="2">
        <v>44504.0</v>
      </c>
      <c r="B135" s="1">
        <v>15.06</v>
      </c>
      <c r="C135" s="1">
        <v>16.14</v>
      </c>
      <c r="D135" s="1">
        <v>14.73</v>
      </c>
      <c r="E135" s="1">
        <v>15.44</v>
      </c>
      <c r="F135" s="6">
        <f t="shared" si="1"/>
        <v>4</v>
      </c>
    </row>
    <row r="136">
      <c r="A136" s="2">
        <v>44505.0</v>
      </c>
      <c r="B136" s="1">
        <v>15.59</v>
      </c>
      <c r="C136" s="1">
        <v>17.02</v>
      </c>
      <c r="D136" s="1">
        <v>14.95</v>
      </c>
      <c r="E136" s="1">
        <v>16.48</v>
      </c>
      <c r="F136" s="6">
        <f t="shared" si="1"/>
        <v>0</v>
      </c>
    </row>
    <row r="137" hidden="1">
      <c r="A137" s="2">
        <v>44508.0</v>
      </c>
      <c r="B137" s="1">
        <v>17.23</v>
      </c>
      <c r="C137" s="1">
        <v>17.69</v>
      </c>
      <c r="D137" s="1">
        <v>16.44</v>
      </c>
      <c r="E137" s="1">
        <v>17.22</v>
      </c>
      <c r="F137" s="6">
        <f t="shared" si="1"/>
        <v>1</v>
      </c>
    </row>
    <row r="138" hidden="1">
      <c r="A138" s="2">
        <v>44509.0</v>
      </c>
      <c r="B138" s="1">
        <v>17.43</v>
      </c>
      <c r="C138" s="1">
        <v>18.57</v>
      </c>
      <c r="D138" s="1">
        <v>17.21</v>
      </c>
      <c r="E138" s="1">
        <v>17.78</v>
      </c>
      <c r="F138" s="6">
        <f t="shared" si="1"/>
        <v>2</v>
      </c>
    </row>
    <row r="139" hidden="1">
      <c r="A139" s="5">
        <v>44510.0</v>
      </c>
      <c r="B139" s="1">
        <v>17.74</v>
      </c>
      <c r="C139" s="1">
        <v>19.9</v>
      </c>
      <c r="D139" s="1">
        <v>17.22</v>
      </c>
      <c r="E139" s="1">
        <v>18.73</v>
      </c>
      <c r="F139" s="6">
        <f t="shared" si="1"/>
        <v>3</v>
      </c>
    </row>
    <row r="140" hidden="1">
      <c r="A140" s="5">
        <v>44511.0</v>
      </c>
      <c r="B140" s="1">
        <v>18.34</v>
      </c>
      <c r="C140" s="1">
        <v>18.39</v>
      </c>
      <c r="D140" s="1">
        <v>17.27</v>
      </c>
      <c r="E140" s="1">
        <v>17.66</v>
      </c>
      <c r="F140" s="6">
        <f t="shared" si="1"/>
        <v>4</v>
      </c>
    </row>
    <row r="141">
      <c r="A141" s="5">
        <v>44512.0</v>
      </c>
      <c r="B141" s="1">
        <v>17.49</v>
      </c>
      <c r="C141" s="1">
        <v>17.69</v>
      </c>
      <c r="D141" s="1">
        <v>16.15</v>
      </c>
      <c r="E141" s="1">
        <v>16.29</v>
      </c>
      <c r="F141" s="6">
        <f t="shared" si="1"/>
        <v>0</v>
      </c>
    </row>
    <row r="142" hidden="1">
      <c r="A142" s="5">
        <v>44515.0</v>
      </c>
      <c r="B142" s="1">
        <v>17.03</v>
      </c>
      <c r="C142" s="1">
        <v>17.46</v>
      </c>
      <c r="D142" s="1">
        <v>16.49</v>
      </c>
      <c r="E142" s="1">
        <v>16.49</v>
      </c>
      <c r="F142" s="6">
        <f t="shared" si="1"/>
        <v>1</v>
      </c>
    </row>
    <row r="143" hidden="1">
      <c r="A143" s="5">
        <v>44516.0</v>
      </c>
      <c r="B143" s="1">
        <v>16.86</v>
      </c>
      <c r="C143" s="1">
        <v>17.08</v>
      </c>
      <c r="D143" s="1">
        <v>16.03</v>
      </c>
      <c r="E143" s="1">
        <v>16.37</v>
      </c>
      <c r="F143" s="6">
        <f t="shared" si="1"/>
        <v>2</v>
      </c>
    </row>
    <row r="144" hidden="1">
      <c r="A144" s="5">
        <v>44517.0</v>
      </c>
      <c r="B144" s="1">
        <v>16.36</v>
      </c>
      <c r="C144" s="1">
        <v>17.19</v>
      </c>
      <c r="D144" s="1">
        <v>16.28</v>
      </c>
      <c r="E144" s="1">
        <v>17.11</v>
      </c>
      <c r="F144" s="6">
        <f t="shared" si="1"/>
        <v>3</v>
      </c>
    </row>
    <row r="145" hidden="1">
      <c r="A145" s="5">
        <v>44518.0</v>
      </c>
      <c r="B145" s="1">
        <v>16.81</v>
      </c>
      <c r="C145" s="1">
        <v>18.15</v>
      </c>
      <c r="D145" s="1">
        <v>16.38</v>
      </c>
      <c r="E145" s="1">
        <v>17.59</v>
      </c>
      <c r="F145" s="6">
        <f t="shared" si="1"/>
        <v>4</v>
      </c>
    </row>
    <row r="146">
      <c r="A146" s="5">
        <v>44519.0</v>
      </c>
      <c r="B146" s="1">
        <v>17.36</v>
      </c>
      <c r="C146" s="1">
        <v>19.01</v>
      </c>
      <c r="D146" s="1">
        <v>17.23</v>
      </c>
      <c r="E146" s="1">
        <v>17.91</v>
      </c>
      <c r="F146" s="6">
        <f t="shared" si="1"/>
        <v>0</v>
      </c>
    </row>
    <row r="147" hidden="1">
      <c r="A147" s="5">
        <v>44522.0</v>
      </c>
      <c r="B147" s="1">
        <v>18.2</v>
      </c>
      <c r="C147" s="1">
        <v>19.59</v>
      </c>
      <c r="D147" s="1">
        <v>17.35</v>
      </c>
      <c r="E147" s="1">
        <v>19.17</v>
      </c>
      <c r="F147" s="6">
        <f t="shared" si="1"/>
        <v>1</v>
      </c>
    </row>
    <row r="148" hidden="1">
      <c r="A148" s="5">
        <v>44523.0</v>
      </c>
      <c r="B148" s="1">
        <v>20.24</v>
      </c>
      <c r="C148" s="1">
        <v>20.91</v>
      </c>
      <c r="D148" s="1">
        <v>19.03</v>
      </c>
      <c r="E148" s="1">
        <v>19.38</v>
      </c>
      <c r="F148" s="6">
        <f t="shared" si="1"/>
        <v>2</v>
      </c>
    </row>
    <row r="149" hidden="1">
      <c r="A149" s="5">
        <v>44524.0</v>
      </c>
      <c r="B149" s="1">
        <v>19.17</v>
      </c>
      <c r="C149" s="1">
        <v>20.96</v>
      </c>
      <c r="D149" s="1">
        <v>18.52</v>
      </c>
      <c r="E149" s="1">
        <v>18.58</v>
      </c>
      <c r="F149" s="6">
        <f t="shared" si="1"/>
        <v>3</v>
      </c>
    </row>
    <row r="150" hidden="1">
      <c r="A150" s="5">
        <v>44526.0</v>
      </c>
      <c r="B150" s="1">
        <v>26.62</v>
      </c>
      <c r="C150" s="1">
        <v>28.99</v>
      </c>
      <c r="D150" s="1">
        <v>23.88</v>
      </c>
      <c r="E150" s="1">
        <v>28.62</v>
      </c>
      <c r="F150" s="6">
        <f t="shared" si="1"/>
        <v>4</v>
      </c>
    </row>
    <row r="151">
      <c r="A151" s="5">
        <v>44529.0</v>
      </c>
      <c r="B151" s="1">
        <v>25.31</v>
      </c>
      <c r="C151" s="1">
        <v>25.69</v>
      </c>
      <c r="D151" s="1">
        <v>21.71</v>
      </c>
      <c r="E151" s="1">
        <v>22.96</v>
      </c>
      <c r="F151" s="6">
        <f t="shared" si="1"/>
        <v>0</v>
      </c>
    </row>
    <row r="152" hidden="1">
      <c r="A152" s="5">
        <v>44530.0</v>
      </c>
      <c r="B152" s="1">
        <v>26.23</v>
      </c>
      <c r="C152" s="1">
        <v>28.56</v>
      </c>
      <c r="D152" s="1">
        <v>23.71</v>
      </c>
      <c r="E152" s="1">
        <v>27.19</v>
      </c>
      <c r="F152" s="6">
        <f t="shared" si="1"/>
        <v>1</v>
      </c>
    </row>
    <row r="153" hidden="1">
      <c r="A153" s="2">
        <v>44531.0</v>
      </c>
      <c r="B153" s="1">
        <v>24.92</v>
      </c>
      <c r="C153" s="1">
        <v>32.61</v>
      </c>
      <c r="D153" s="1">
        <v>22.38</v>
      </c>
      <c r="E153" s="1">
        <v>31.12</v>
      </c>
      <c r="F153" s="6">
        <f t="shared" si="1"/>
        <v>2</v>
      </c>
    </row>
    <row r="154" hidden="1">
      <c r="A154" s="2">
        <v>44532.0</v>
      </c>
      <c r="B154" s="1">
        <v>29.44</v>
      </c>
      <c r="C154" s="1">
        <v>30.68</v>
      </c>
      <c r="D154" s="1">
        <v>27.15</v>
      </c>
      <c r="E154" s="1">
        <v>27.95</v>
      </c>
      <c r="F154" s="6">
        <f t="shared" si="1"/>
        <v>3</v>
      </c>
    </row>
    <row r="155" hidden="1">
      <c r="A155" s="2">
        <v>44533.0</v>
      </c>
      <c r="B155" s="1">
        <v>26.95</v>
      </c>
      <c r="C155" s="1">
        <v>35.32</v>
      </c>
      <c r="D155" s="1">
        <v>25.89</v>
      </c>
      <c r="E155" s="1">
        <v>30.67</v>
      </c>
      <c r="F155" s="6">
        <f t="shared" si="1"/>
        <v>4</v>
      </c>
    </row>
    <row r="156">
      <c r="A156" s="2">
        <v>44536.0</v>
      </c>
      <c r="B156" s="1">
        <v>28.99</v>
      </c>
      <c r="C156" s="1">
        <v>30.82</v>
      </c>
      <c r="D156" s="1">
        <v>26.75</v>
      </c>
      <c r="E156" s="1">
        <v>27.18</v>
      </c>
      <c r="F156" s="6">
        <f t="shared" si="1"/>
        <v>0</v>
      </c>
    </row>
    <row r="157" hidden="1">
      <c r="A157" s="2">
        <v>44537.0</v>
      </c>
      <c r="B157" s="1">
        <v>24.58</v>
      </c>
      <c r="C157" s="1">
        <v>24.69</v>
      </c>
      <c r="D157" s="1">
        <v>21.58</v>
      </c>
      <c r="E157" s="1">
        <v>21.89</v>
      </c>
      <c r="F157" s="6">
        <f t="shared" si="1"/>
        <v>1</v>
      </c>
    </row>
    <row r="158" hidden="1">
      <c r="A158" s="2">
        <v>44538.0</v>
      </c>
      <c r="B158" s="1">
        <v>21.74</v>
      </c>
      <c r="C158" s="1">
        <v>23.11</v>
      </c>
      <c r="D158" s="1">
        <v>19.85</v>
      </c>
      <c r="E158" s="1">
        <v>19.9</v>
      </c>
      <c r="F158" s="6">
        <f t="shared" si="1"/>
        <v>2</v>
      </c>
    </row>
    <row r="159" hidden="1">
      <c r="A159" s="2">
        <v>44539.0</v>
      </c>
      <c r="B159" s="1">
        <v>20.31</v>
      </c>
      <c r="C159" s="1">
        <v>22.12</v>
      </c>
      <c r="D159" s="1">
        <v>19.94</v>
      </c>
      <c r="E159" s="1">
        <v>21.58</v>
      </c>
      <c r="F159" s="6">
        <f t="shared" si="1"/>
        <v>3</v>
      </c>
    </row>
    <row r="160" hidden="1">
      <c r="A160" s="5">
        <v>44540.0</v>
      </c>
      <c r="B160" s="1">
        <v>21.27</v>
      </c>
      <c r="C160" s="1">
        <v>21.3</v>
      </c>
      <c r="D160" s="1">
        <v>18.69</v>
      </c>
      <c r="E160" s="1">
        <v>18.69</v>
      </c>
      <c r="F160" s="6">
        <f t="shared" si="1"/>
        <v>4</v>
      </c>
    </row>
    <row r="161">
      <c r="A161" s="5">
        <v>44543.0</v>
      </c>
      <c r="B161" s="1">
        <v>19.29</v>
      </c>
      <c r="C161" s="1">
        <v>21.18</v>
      </c>
      <c r="D161" s="1">
        <v>18.96</v>
      </c>
      <c r="E161" s="1">
        <v>20.31</v>
      </c>
      <c r="F161" s="6">
        <f t="shared" si="1"/>
        <v>0</v>
      </c>
    </row>
    <row r="162" hidden="1">
      <c r="A162" s="5">
        <v>44544.0</v>
      </c>
      <c r="B162" s="1">
        <v>19.67</v>
      </c>
      <c r="C162" s="1">
        <v>23.0</v>
      </c>
      <c r="D162" s="1">
        <v>19.67</v>
      </c>
      <c r="E162" s="1">
        <v>21.89</v>
      </c>
      <c r="F162" s="6">
        <f t="shared" si="1"/>
        <v>1</v>
      </c>
    </row>
    <row r="163" hidden="1">
      <c r="A163" s="5">
        <v>44545.0</v>
      </c>
      <c r="B163" s="1">
        <v>21.6</v>
      </c>
      <c r="C163" s="1">
        <v>23.47</v>
      </c>
      <c r="D163" s="1">
        <v>19.02</v>
      </c>
      <c r="E163" s="1">
        <v>19.29</v>
      </c>
      <c r="F163" s="6">
        <f t="shared" si="1"/>
        <v>2</v>
      </c>
    </row>
    <row r="164" hidden="1">
      <c r="A164" s="5">
        <v>44546.0</v>
      </c>
      <c r="B164" s="1">
        <v>18.56</v>
      </c>
      <c r="C164" s="1">
        <v>22.13</v>
      </c>
      <c r="D164" s="1">
        <v>18.19</v>
      </c>
      <c r="E164" s="1">
        <v>20.57</v>
      </c>
      <c r="F164" s="6">
        <f t="shared" si="1"/>
        <v>3</v>
      </c>
    </row>
    <row r="165" hidden="1">
      <c r="A165" s="5">
        <v>44547.0</v>
      </c>
      <c r="B165" s="1">
        <v>20.7</v>
      </c>
      <c r="C165" s="1">
        <v>23.26</v>
      </c>
      <c r="D165" s="1">
        <v>20.49</v>
      </c>
      <c r="E165" s="1">
        <v>21.57</v>
      </c>
      <c r="F165" s="6">
        <f t="shared" si="1"/>
        <v>4</v>
      </c>
    </row>
    <row r="166">
      <c r="A166" s="5">
        <v>44550.0</v>
      </c>
      <c r="B166" s="1">
        <v>25.89</v>
      </c>
      <c r="C166" s="1">
        <v>27.39</v>
      </c>
      <c r="D166" s="1">
        <v>22.85</v>
      </c>
      <c r="E166" s="1">
        <v>22.87</v>
      </c>
      <c r="F166" s="6">
        <f t="shared" si="1"/>
        <v>0</v>
      </c>
    </row>
    <row r="167" hidden="1">
      <c r="A167" s="5">
        <v>44551.0</v>
      </c>
      <c r="B167" s="1">
        <v>22.28</v>
      </c>
      <c r="C167" s="1">
        <v>22.68</v>
      </c>
      <c r="D167" s="1">
        <v>20.9</v>
      </c>
      <c r="E167" s="1">
        <v>21.01</v>
      </c>
      <c r="F167" s="6">
        <f t="shared" si="1"/>
        <v>1</v>
      </c>
    </row>
    <row r="168" hidden="1">
      <c r="A168" s="5">
        <v>44552.0</v>
      </c>
      <c r="B168" s="1">
        <v>21.04</v>
      </c>
      <c r="C168" s="1">
        <v>21.36</v>
      </c>
      <c r="D168" s="1">
        <v>18.59</v>
      </c>
      <c r="E168" s="1">
        <v>18.63</v>
      </c>
      <c r="F168" s="6">
        <f t="shared" si="1"/>
        <v>2</v>
      </c>
    </row>
    <row r="169" hidden="1">
      <c r="A169" s="5">
        <v>44553.0</v>
      </c>
      <c r="B169" s="1">
        <v>18.81</v>
      </c>
      <c r="C169" s="1">
        <v>18.93</v>
      </c>
      <c r="D169" s="1">
        <v>17.62</v>
      </c>
      <c r="E169" s="1">
        <v>17.96</v>
      </c>
      <c r="F169" s="6">
        <f t="shared" si="1"/>
        <v>3</v>
      </c>
    </row>
    <row r="170" hidden="1">
      <c r="A170" s="5">
        <v>44557.0</v>
      </c>
      <c r="B170" s="1">
        <v>19.37</v>
      </c>
      <c r="C170" s="1">
        <v>19.41</v>
      </c>
      <c r="D170" s="1">
        <v>17.55</v>
      </c>
      <c r="E170" s="1">
        <v>17.68</v>
      </c>
      <c r="F170" s="6">
        <f t="shared" si="1"/>
        <v>4</v>
      </c>
    </row>
    <row r="171">
      <c r="A171" s="5">
        <v>44558.0</v>
      </c>
      <c r="B171" s="1">
        <v>17.78</v>
      </c>
      <c r="C171" s="1">
        <v>18.47</v>
      </c>
      <c r="D171" s="1">
        <v>17.51</v>
      </c>
      <c r="E171" s="1">
        <v>17.54</v>
      </c>
      <c r="F171" s="6">
        <f t="shared" si="1"/>
        <v>0</v>
      </c>
    </row>
    <row r="172" hidden="1">
      <c r="A172" s="5">
        <v>44559.0</v>
      </c>
      <c r="B172" s="1">
        <v>17.63</v>
      </c>
      <c r="C172" s="1">
        <v>18.0</v>
      </c>
      <c r="D172" s="1">
        <v>16.71</v>
      </c>
      <c r="E172" s="1">
        <v>16.95</v>
      </c>
      <c r="F172" s="6">
        <f t="shared" si="1"/>
        <v>1</v>
      </c>
    </row>
    <row r="173" hidden="1">
      <c r="A173" s="5">
        <v>44560.0</v>
      </c>
      <c r="B173" s="1">
        <v>17.3</v>
      </c>
      <c r="C173" s="1">
        <v>17.79</v>
      </c>
      <c r="D173" s="1">
        <v>16.62</v>
      </c>
      <c r="E173" s="1">
        <v>17.33</v>
      </c>
      <c r="F173" s="6">
        <f t="shared" si="1"/>
        <v>2</v>
      </c>
    </row>
    <row r="174" hidden="1">
      <c r="A174" s="5">
        <v>44561.0</v>
      </c>
      <c r="B174" s="1">
        <v>17.63</v>
      </c>
      <c r="C174" s="1">
        <v>18.27</v>
      </c>
      <c r="D174" s="1">
        <v>16.99</v>
      </c>
      <c r="E174" s="1">
        <v>17.22</v>
      </c>
      <c r="F174" s="6">
        <f t="shared" si="1"/>
        <v>3</v>
      </c>
    </row>
    <row r="175" hidden="1">
      <c r="A175" s="2">
        <v>44564.0</v>
      </c>
      <c r="B175" s="1">
        <v>17.6</v>
      </c>
      <c r="C175" s="1">
        <v>18.54</v>
      </c>
      <c r="D175" s="1">
        <v>16.56</v>
      </c>
      <c r="E175" s="1">
        <v>16.6</v>
      </c>
      <c r="F175" s="6">
        <f t="shared" si="1"/>
        <v>4</v>
      </c>
    </row>
    <row r="176">
      <c r="A176" s="2">
        <v>44565.0</v>
      </c>
      <c r="B176" s="1">
        <v>16.57</v>
      </c>
      <c r="C176" s="1">
        <v>17.81</v>
      </c>
      <c r="D176" s="1">
        <v>16.34</v>
      </c>
      <c r="E176" s="1">
        <v>16.91</v>
      </c>
      <c r="F176" s="6">
        <f t="shared" si="1"/>
        <v>0</v>
      </c>
    </row>
    <row r="177" hidden="1">
      <c r="A177" s="2">
        <v>44566.0</v>
      </c>
      <c r="B177" s="1">
        <v>17.07</v>
      </c>
      <c r="C177" s="1">
        <v>20.17</v>
      </c>
      <c r="D177" s="1">
        <v>16.58</v>
      </c>
      <c r="E177" s="1">
        <v>19.73</v>
      </c>
      <c r="F177" s="6">
        <f t="shared" si="1"/>
        <v>1</v>
      </c>
    </row>
    <row r="178" hidden="1">
      <c r="A178" s="2">
        <v>44567.0</v>
      </c>
      <c r="B178" s="1">
        <v>20.29</v>
      </c>
      <c r="C178" s="1">
        <v>21.06</v>
      </c>
      <c r="D178" s="1">
        <v>19.08</v>
      </c>
      <c r="E178" s="1">
        <v>19.61</v>
      </c>
      <c r="F178" s="6">
        <f t="shared" si="1"/>
        <v>2</v>
      </c>
    </row>
    <row r="179" hidden="1">
      <c r="A179" s="2">
        <v>44568.0</v>
      </c>
      <c r="B179" s="1">
        <v>19.85</v>
      </c>
      <c r="C179" s="1">
        <v>20.8</v>
      </c>
      <c r="D179" s="1">
        <v>18.57</v>
      </c>
      <c r="E179" s="1">
        <v>18.76</v>
      </c>
      <c r="F179" s="6">
        <f t="shared" si="1"/>
        <v>3</v>
      </c>
    </row>
    <row r="180" hidden="1">
      <c r="A180" s="2">
        <v>44571.0</v>
      </c>
      <c r="B180" s="1">
        <v>19.58</v>
      </c>
      <c r="C180" s="1">
        <v>23.33</v>
      </c>
      <c r="D180" s="1">
        <v>19.29</v>
      </c>
      <c r="E180" s="1">
        <v>19.4</v>
      </c>
      <c r="F180" s="6">
        <f t="shared" si="1"/>
        <v>4</v>
      </c>
    </row>
    <row r="181">
      <c r="A181" s="2">
        <v>44572.0</v>
      </c>
      <c r="B181" s="1">
        <v>19.62</v>
      </c>
      <c r="C181" s="1">
        <v>21.0</v>
      </c>
      <c r="D181" s="1">
        <v>18.2</v>
      </c>
      <c r="E181" s="1">
        <v>18.41</v>
      </c>
      <c r="F181" s="6">
        <f t="shared" si="1"/>
        <v>0</v>
      </c>
    </row>
    <row r="182" hidden="1">
      <c r="A182" s="2">
        <v>44573.0</v>
      </c>
      <c r="B182" s="1">
        <v>18.17</v>
      </c>
      <c r="C182" s="1">
        <v>18.69</v>
      </c>
      <c r="D182" s="1">
        <v>17.36</v>
      </c>
      <c r="E182" s="1">
        <v>17.62</v>
      </c>
      <c r="F182" s="6">
        <f t="shared" si="1"/>
        <v>1</v>
      </c>
    </row>
    <row r="183" hidden="1">
      <c r="A183" s="2">
        <v>44574.0</v>
      </c>
      <c r="B183" s="1">
        <v>18.06</v>
      </c>
      <c r="C183" s="1">
        <v>20.61</v>
      </c>
      <c r="D183" s="1">
        <v>17.45</v>
      </c>
      <c r="E183" s="1">
        <v>20.31</v>
      </c>
      <c r="F183" s="6">
        <f t="shared" si="1"/>
        <v>2</v>
      </c>
    </row>
    <row r="184" hidden="1">
      <c r="A184" s="2">
        <v>44575.0</v>
      </c>
      <c r="B184" s="1">
        <v>20.11</v>
      </c>
      <c r="C184" s="1">
        <v>22.07</v>
      </c>
      <c r="D184" s="1">
        <v>19.05</v>
      </c>
      <c r="E184" s="1">
        <v>19.19</v>
      </c>
      <c r="F184" s="6">
        <f t="shared" si="1"/>
        <v>3</v>
      </c>
    </row>
    <row r="185" hidden="1">
      <c r="A185" s="2">
        <v>44579.0</v>
      </c>
      <c r="B185" s="1">
        <v>21.18</v>
      </c>
      <c r="C185" s="1">
        <v>23.2</v>
      </c>
      <c r="D185" s="1">
        <v>21.18</v>
      </c>
      <c r="E185" s="1">
        <v>22.79</v>
      </c>
      <c r="F185" s="6">
        <f t="shared" si="1"/>
        <v>4</v>
      </c>
    </row>
    <row r="186">
      <c r="A186" s="2">
        <v>44580.0</v>
      </c>
      <c r="B186" s="1">
        <v>23.12</v>
      </c>
      <c r="C186" s="1">
        <v>23.99</v>
      </c>
      <c r="D186" s="1">
        <v>21.85</v>
      </c>
      <c r="E186" s="1">
        <v>23.85</v>
      </c>
      <c r="F186" s="6">
        <f t="shared" si="1"/>
        <v>0</v>
      </c>
    </row>
    <row r="187" hidden="1">
      <c r="A187" s="2">
        <v>44581.0</v>
      </c>
      <c r="B187" s="1">
        <v>23.46</v>
      </c>
      <c r="C187" s="1">
        <v>25.89</v>
      </c>
      <c r="D187" s="1">
        <v>21.68</v>
      </c>
      <c r="E187" s="1">
        <v>25.59</v>
      </c>
      <c r="F187" s="6">
        <f t="shared" si="1"/>
        <v>1</v>
      </c>
    </row>
    <row r="188" hidden="1">
      <c r="A188" s="2">
        <v>44582.0</v>
      </c>
      <c r="B188" s="1">
        <v>25.38</v>
      </c>
      <c r="C188" s="1">
        <v>29.79</v>
      </c>
      <c r="D188" s="1">
        <v>25.31</v>
      </c>
      <c r="E188" s="1">
        <v>28.85</v>
      </c>
      <c r="F188" s="6">
        <f t="shared" si="1"/>
        <v>2</v>
      </c>
    </row>
    <row r="189" hidden="1">
      <c r="A189" s="2">
        <v>44585.0</v>
      </c>
      <c r="B189" s="1">
        <v>28.2</v>
      </c>
      <c r="C189" s="1">
        <v>38.94</v>
      </c>
      <c r="D189" s="1">
        <v>28.02</v>
      </c>
      <c r="E189" s="1">
        <v>29.9</v>
      </c>
      <c r="F189" s="6">
        <f t="shared" si="1"/>
        <v>3</v>
      </c>
    </row>
    <row r="190" hidden="1">
      <c r="A190" s="2">
        <v>44586.0</v>
      </c>
      <c r="B190" s="1">
        <v>32.29</v>
      </c>
      <c r="C190" s="1">
        <v>35.85</v>
      </c>
      <c r="D190" s="1">
        <v>29.13</v>
      </c>
      <c r="E190" s="1">
        <v>31.16</v>
      </c>
      <c r="F190" s="6">
        <f t="shared" si="1"/>
        <v>4</v>
      </c>
    </row>
    <row r="191">
      <c r="A191" s="2">
        <v>44587.0</v>
      </c>
      <c r="B191" s="1">
        <v>29.35</v>
      </c>
      <c r="C191" s="1">
        <v>33.04</v>
      </c>
      <c r="D191" s="1">
        <v>26.9</v>
      </c>
      <c r="E191" s="1">
        <v>31.96</v>
      </c>
      <c r="F191" s="6">
        <f t="shared" si="1"/>
        <v>0</v>
      </c>
    </row>
    <row r="192" hidden="1">
      <c r="A192" s="2">
        <v>44588.0</v>
      </c>
      <c r="B192" s="1">
        <v>32.19</v>
      </c>
      <c r="C192" s="1">
        <v>33.0</v>
      </c>
      <c r="D192" s="1">
        <v>28.42</v>
      </c>
      <c r="E192" s="1">
        <v>30.49</v>
      </c>
      <c r="F192" s="6">
        <f t="shared" si="1"/>
        <v>1</v>
      </c>
    </row>
    <row r="193" hidden="1">
      <c r="A193" s="2">
        <v>44589.0</v>
      </c>
      <c r="B193" s="1">
        <v>30.27</v>
      </c>
      <c r="C193" s="1">
        <v>32.82</v>
      </c>
      <c r="D193" s="1">
        <v>27.28</v>
      </c>
      <c r="E193" s="1">
        <v>27.66</v>
      </c>
      <c r="F193" s="6">
        <f t="shared" si="1"/>
        <v>2</v>
      </c>
    </row>
    <row r="194" hidden="1">
      <c r="A194" s="2">
        <v>44592.0</v>
      </c>
      <c r="B194" s="1">
        <v>28.36</v>
      </c>
      <c r="C194" s="1">
        <v>29.41</v>
      </c>
      <c r="D194" s="1">
        <v>24.71</v>
      </c>
      <c r="E194" s="1">
        <v>24.83</v>
      </c>
      <c r="F194" s="6">
        <f t="shared" si="1"/>
        <v>3</v>
      </c>
    </row>
    <row r="195" hidden="1">
      <c r="A195" s="2">
        <v>44593.0</v>
      </c>
      <c r="B195" s="1">
        <v>24.57</v>
      </c>
      <c r="C195" s="1">
        <v>25.33</v>
      </c>
      <c r="D195" s="1">
        <v>21.96</v>
      </c>
      <c r="E195" s="1">
        <v>21.96</v>
      </c>
      <c r="F195" s="6">
        <f t="shared" si="1"/>
        <v>4</v>
      </c>
    </row>
    <row r="196">
      <c r="A196" s="2">
        <v>44594.0</v>
      </c>
      <c r="B196" s="1">
        <v>21.56</v>
      </c>
      <c r="C196" s="1">
        <v>22.73</v>
      </c>
      <c r="D196" s="1">
        <v>20.46</v>
      </c>
      <c r="E196" s="1">
        <v>22.09</v>
      </c>
      <c r="F196" s="6">
        <f t="shared" si="1"/>
        <v>0</v>
      </c>
    </row>
    <row r="197" hidden="1">
      <c r="A197" s="2">
        <v>44595.0</v>
      </c>
      <c r="B197" s="1">
        <v>22.63</v>
      </c>
      <c r="C197" s="1">
        <v>25.81</v>
      </c>
      <c r="D197" s="1">
        <v>22.3</v>
      </c>
      <c r="E197" s="1">
        <v>24.35</v>
      </c>
      <c r="F197" s="6">
        <f t="shared" si="1"/>
        <v>1</v>
      </c>
    </row>
    <row r="198" hidden="1">
      <c r="A198" s="2">
        <v>44596.0</v>
      </c>
      <c r="B198" s="1">
        <v>23.77</v>
      </c>
      <c r="C198" s="1">
        <v>26.26</v>
      </c>
      <c r="D198" s="1">
        <v>22.07</v>
      </c>
      <c r="E198" s="1">
        <v>23.22</v>
      </c>
      <c r="F198" s="6">
        <f t="shared" si="1"/>
        <v>2</v>
      </c>
    </row>
    <row r="199" hidden="1">
      <c r="A199" s="2">
        <v>44599.0</v>
      </c>
      <c r="B199" s="1">
        <v>24.09</v>
      </c>
      <c r="C199" s="1">
        <v>24.82</v>
      </c>
      <c r="D199" s="1">
        <v>22.02</v>
      </c>
      <c r="E199" s="1">
        <v>22.86</v>
      </c>
      <c r="F199" s="6">
        <f t="shared" si="1"/>
        <v>3</v>
      </c>
    </row>
    <row r="200" hidden="1">
      <c r="A200" s="2">
        <v>44600.0</v>
      </c>
      <c r="B200" s="1">
        <v>23.09</v>
      </c>
      <c r="C200" s="1">
        <v>23.48</v>
      </c>
      <c r="D200" s="1">
        <v>21.32</v>
      </c>
      <c r="E200" s="1">
        <v>21.44</v>
      </c>
      <c r="F200" s="6">
        <f t="shared" si="1"/>
        <v>4</v>
      </c>
    </row>
    <row r="201">
      <c r="A201" s="2">
        <v>44601.0</v>
      </c>
      <c r="B201" s="1">
        <v>21.27</v>
      </c>
      <c r="C201" s="1">
        <v>21.3</v>
      </c>
      <c r="D201" s="1">
        <v>19.93</v>
      </c>
      <c r="E201" s="1">
        <v>19.96</v>
      </c>
      <c r="F201" s="6">
        <f t="shared" si="1"/>
        <v>0</v>
      </c>
    </row>
    <row r="202" hidden="1">
      <c r="A202" s="2">
        <v>44602.0</v>
      </c>
      <c r="B202" s="1">
        <v>20.37</v>
      </c>
      <c r="C202" s="1">
        <v>24.77</v>
      </c>
      <c r="D202" s="1">
        <v>20.18</v>
      </c>
      <c r="E202" s="1">
        <v>23.91</v>
      </c>
      <c r="F202" s="6">
        <f t="shared" si="1"/>
        <v>1</v>
      </c>
    </row>
    <row r="203" hidden="1">
      <c r="A203" s="2">
        <v>44603.0</v>
      </c>
      <c r="B203" s="1">
        <v>24.39</v>
      </c>
      <c r="C203" s="1">
        <v>30.99</v>
      </c>
      <c r="D203" s="1">
        <v>23.33</v>
      </c>
      <c r="E203" s="1">
        <v>27.36</v>
      </c>
      <c r="F203" s="6">
        <f t="shared" si="1"/>
        <v>2</v>
      </c>
    </row>
    <row r="204" hidden="1">
      <c r="A204" s="2">
        <v>44606.0</v>
      </c>
      <c r="B204" s="1">
        <v>29.17</v>
      </c>
      <c r="C204" s="1">
        <v>32.04</v>
      </c>
      <c r="D204" s="1">
        <v>28.33</v>
      </c>
      <c r="E204" s="1">
        <v>28.33</v>
      </c>
      <c r="F204" s="6">
        <f t="shared" si="1"/>
        <v>3</v>
      </c>
    </row>
    <row r="205" hidden="1">
      <c r="A205" s="2">
        <v>44607.0</v>
      </c>
      <c r="B205" s="1">
        <v>28.09</v>
      </c>
      <c r="C205" s="1">
        <v>28.09</v>
      </c>
      <c r="D205" s="1">
        <v>25.33</v>
      </c>
      <c r="E205" s="1">
        <v>25.7</v>
      </c>
      <c r="F205" s="6">
        <f t="shared" si="1"/>
        <v>4</v>
      </c>
    </row>
    <row r="206">
      <c r="A206" s="2">
        <v>44608.0</v>
      </c>
      <c r="B206" s="1">
        <v>25.19</v>
      </c>
      <c r="C206" s="1">
        <v>27.09</v>
      </c>
      <c r="D206" s="1">
        <v>23.88</v>
      </c>
      <c r="E206" s="1">
        <v>24.29</v>
      </c>
      <c r="F206" s="6">
        <f t="shared" si="1"/>
        <v>0</v>
      </c>
    </row>
    <row r="207" hidden="1">
      <c r="A207" s="2">
        <v>44609.0</v>
      </c>
      <c r="B207" s="1">
        <v>24.83</v>
      </c>
      <c r="C207" s="1">
        <v>28.37</v>
      </c>
      <c r="D207" s="1">
        <v>24.76</v>
      </c>
      <c r="E207" s="1">
        <v>28.11</v>
      </c>
      <c r="F207" s="6">
        <f t="shared" si="1"/>
        <v>1</v>
      </c>
    </row>
    <row r="208" hidden="1">
      <c r="A208" s="2">
        <v>44610.0</v>
      </c>
      <c r="B208" s="1">
        <v>26.66</v>
      </c>
      <c r="C208" s="1">
        <v>29.71</v>
      </c>
      <c r="D208" s="1">
        <v>26.38</v>
      </c>
      <c r="E208" s="1">
        <v>27.75</v>
      </c>
      <c r="F208" s="6">
        <f t="shared" si="1"/>
        <v>2</v>
      </c>
    </row>
    <row r="209" hidden="1">
      <c r="A209" s="2">
        <v>44614.0</v>
      </c>
      <c r="B209" s="1">
        <v>31.8</v>
      </c>
      <c r="C209" s="1">
        <v>32.04</v>
      </c>
      <c r="D209" s="1">
        <v>28.4</v>
      </c>
      <c r="E209" s="1">
        <v>28.81</v>
      </c>
      <c r="F209" s="6">
        <f t="shared" si="1"/>
        <v>3</v>
      </c>
    </row>
    <row r="210" hidden="1">
      <c r="A210" s="2">
        <v>44615.0</v>
      </c>
      <c r="B210" s="1">
        <v>28.04</v>
      </c>
      <c r="C210" s="1">
        <v>31.07</v>
      </c>
      <c r="D210" s="1">
        <v>27.2</v>
      </c>
      <c r="E210" s="1">
        <v>31.02</v>
      </c>
      <c r="F210" s="6">
        <f t="shared" si="1"/>
        <v>4</v>
      </c>
    </row>
    <row r="211">
      <c r="A211" s="2">
        <v>44616.0</v>
      </c>
      <c r="B211" s="1">
        <v>37.5</v>
      </c>
      <c r="C211" s="1">
        <v>37.79</v>
      </c>
      <c r="D211" s="1">
        <v>29.45</v>
      </c>
      <c r="E211" s="1">
        <v>30.32</v>
      </c>
      <c r="F211" s="6">
        <f t="shared" si="1"/>
        <v>0</v>
      </c>
    </row>
    <row r="212" hidden="1">
      <c r="A212" s="2">
        <v>44617.0</v>
      </c>
      <c r="B212" s="1">
        <v>31.68</v>
      </c>
      <c r="C212" s="1">
        <v>32.0</v>
      </c>
      <c r="D212" s="1">
        <v>26.93</v>
      </c>
      <c r="E212" s="1">
        <v>27.59</v>
      </c>
      <c r="F212" s="6">
        <f t="shared" si="1"/>
        <v>1</v>
      </c>
    </row>
    <row r="213" hidden="1">
      <c r="A213" s="2">
        <v>44620.0</v>
      </c>
      <c r="B213" s="1">
        <v>32.44</v>
      </c>
      <c r="C213" s="1">
        <v>33.51</v>
      </c>
      <c r="D213" s="1">
        <v>28.43</v>
      </c>
      <c r="E213" s="1">
        <v>30.15</v>
      </c>
      <c r="F213" s="6">
        <f t="shared" si="1"/>
        <v>2</v>
      </c>
    </row>
    <row r="214" hidden="1">
      <c r="A214" s="2">
        <v>44621.0</v>
      </c>
      <c r="B214" s="1">
        <v>29.45</v>
      </c>
      <c r="C214" s="1">
        <v>35.19</v>
      </c>
      <c r="D214" s="1">
        <v>29.44</v>
      </c>
      <c r="E214" s="1">
        <v>33.32</v>
      </c>
      <c r="F214" s="6">
        <f t="shared" si="1"/>
        <v>3</v>
      </c>
    </row>
    <row r="215" hidden="1">
      <c r="A215" s="2">
        <v>44622.0</v>
      </c>
      <c r="B215" s="1">
        <v>34.2</v>
      </c>
      <c r="C215" s="1">
        <v>34.41</v>
      </c>
      <c r="D215" s="1">
        <v>30.12</v>
      </c>
      <c r="E215" s="1">
        <v>30.74</v>
      </c>
      <c r="F215" s="6">
        <f t="shared" si="1"/>
        <v>4</v>
      </c>
    </row>
    <row r="216">
      <c r="A216" s="2">
        <v>44623.0</v>
      </c>
      <c r="B216" s="1">
        <v>30.52</v>
      </c>
      <c r="C216" s="1">
        <v>32.01</v>
      </c>
      <c r="D216" s="1">
        <v>29.31</v>
      </c>
      <c r="E216" s="1">
        <v>30.48</v>
      </c>
      <c r="F216" s="6">
        <f t="shared" si="1"/>
        <v>0</v>
      </c>
    </row>
    <row r="217" hidden="1">
      <c r="A217" s="2">
        <v>44624.0</v>
      </c>
      <c r="B217" s="1">
        <v>31.9</v>
      </c>
      <c r="C217" s="1">
        <v>34.65</v>
      </c>
      <c r="D217" s="1">
        <v>31.47</v>
      </c>
      <c r="E217" s="1">
        <v>31.98</v>
      </c>
      <c r="F217" s="6">
        <f t="shared" si="1"/>
        <v>1</v>
      </c>
    </row>
    <row r="218" hidden="1">
      <c r="A218" s="2">
        <v>44627.0</v>
      </c>
      <c r="B218" s="1">
        <v>35.88</v>
      </c>
      <c r="C218" s="1">
        <v>36.55</v>
      </c>
      <c r="D218" s="1">
        <v>32.59</v>
      </c>
      <c r="E218" s="1">
        <v>36.45</v>
      </c>
      <c r="F218" s="6">
        <f t="shared" si="1"/>
        <v>2</v>
      </c>
    </row>
    <row r="219" hidden="1">
      <c r="A219" s="2">
        <v>44628.0</v>
      </c>
      <c r="B219" s="1">
        <v>36.19</v>
      </c>
      <c r="C219" s="1">
        <v>37.52</v>
      </c>
      <c r="D219" s="1">
        <v>32.78</v>
      </c>
      <c r="E219" s="1">
        <v>35.13</v>
      </c>
      <c r="F219" s="6">
        <f t="shared" si="1"/>
        <v>3</v>
      </c>
    </row>
    <row r="220" hidden="1">
      <c r="A220" s="2">
        <v>44629.0</v>
      </c>
      <c r="B220" s="1">
        <v>33.74</v>
      </c>
      <c r="C220" s="1">
        <v>34.12</v>
      </c>
      <c r="D220" s="1">
        <v>31.39</v>
      </c>
      <c r="E220" s="1">
        <v>32.45</v>
      </c>
      <c r="F220" s="6">
        <f t="shared" si="1"/>
        <v>4</v>
      </c>
    </row>
    <row r="221">
      <c r="A221" s="2">
        <v>44630.0</v>
      </c>
      <c r="B221" s="1">
        <v>33.03</v>
      </c>
      <c r="C221" s="1">
        <v>34.03</v>
      </c>
      <c r="D221" s="1">
        <v>30.23</v>
      </c>
      <c r="E221" s="1">
        <v>30.23</v>
      </c>
      <c r="F221" s="6">
        <f t="shared" si="1"/>
        <v>0</v>
      </c>
    </row>
    <row r="222" hidden="1">
      <c r="A222" s="2">
        <v>44631.0</v>
      </c>
      <c r="B222" s="1">
        <v>30.43</v>
      </c>
      <c r="C222" s="1">
        <v>31.04</v>
      </c>
      <c r="D222" s="1">
        <v>28.84</v>
      </c>
      <c r="E222" s="1">
        <v>30.75</v>
      </c>
      <c r="F222" s="6">
        <f t="shared" si="1"/>
        <v>1</v>
      </c>
    </row>
    <row r="223" hidden="1">
      <c r="A223" s="2">
        <v>44634.0</v>
      </c>
      <c r="B223" s="1">
        <v>31.03</v>
      </c>
      <c r="C223" s="1">
        <v>33.18</v>
      </c>
      <c r="D223" s="1">
        <v>30.06</v>
      </c>
      <c r="E223" s="1">
        <v>31.77</v>
      </c>
      <c r="F223" s="6">
        <f t="shared" si="1"/>
        <v>2</v>
      </c>
    </row>
    <row r="224" hidden="1">
      <c r="A224" s="2">
        <v>44635.0</v>
      </c>
      <c r="B224" s="1">
        <v>33.13</v>
      </c>
      <c r="C224" s="1">
        <v>33.83</v>
      </c>
      <c r="D224" s="1">
        <v>29.57</v>
      </c>
      <c r="E224" s="1">
        <v>29.83</v>
      </c>
      <c r="F224" s="6">
        <f t="shared" si="1"/>
        <v>3</v>
      </c>
    </row>
    <row r="225" hidden="1">
      <c r="A225" s="2">
        <v>44636.0</v>
      </c>
      <c r="B225" s="1">
        <v>29.02</v>
      </c>
      <c r="C225" s="1">
        <v>29.8</v>
      </c>
      <c r="D225" s="1">
        <v>26.29</v>
      </c>
      <c r="E225" s="1">
        <v>26.67</v>
      </c>
      <c r="F225" s="6">
        <f t="shared" si="1"/>
        <v>4</v>
      </c>
    </row>
    <row r="226">
      <c r="A226" s="2">
        <v>44637.0</v>
      </c>
      <c r="B226" s="1">
        <v>26.51</v>
      </c>
      <c r="C226" s="1">
        <v>27.47</v>
      </c>
      <c r="D226" s="1">
        <v>25.25</v>
      </c>
      <c r="E226" s="1">
        <v>25.67</v>
      </c>
      <c r="F226" s="6">
        <f t="shared" si="1"/>
        <v>0</v>
      </c>
    </row>
    <row r="227" hidden="1">
      <c r="A227" s="2">
        <v>44638.0</v>
      </c>
      <c r="B227" s="1">
        <v>26.36</v>
      </c>
      <c r="C227" s="1">
        <v>26.82</v>
      </c>
      <c r="D227" s="1">
        <v>23.85</v>
      </c>
      <c r="E227" s="1">
        <v>23.87</v>
      </c>
      <c r="F227" s="6">
        <f t="shared" si="1"/>
        <v>1</v>
      </c>
    </row>
    <row r="228" hidden="1">
      <c r="A228" s="2">
        <v>44641.0</v>
      </c>
      <c r="B228" s="1">
        <v>25.14</v>
      </c>
      <c r="C228" s="1">
        <v>25.36</v>
      </c>
      <c r="D228" s="1">
        <v>22.99</v>
      </c>
      <c r="E228" s="1">
        <v>23.53</v>
      </c>
      <c r="F228" s="6">
        <f t="shared" si="1"/>
        <v>2</v>
      </c>
    </row>
    <row r="229" hidden="1">
      <c r="A229" s="2">
        <v>44642.0</v>
      </c>
      <c r="B229" s="1">
        <v>24.02</v>
      </c>
      <c r="C229" s="1">
        <v>24.02</v>
      </c>
      <c r="D229" s="1">
        <v>22.7</v>
      </c>
      <c r="E229" s="1">
        <v>22.94</v>
      </c>
      <c r="F229" s="6">
        <f t="shared" si="1"/>
        <v>3</v>
      </c>
    </row>
    <row r="230" hidden="1">
      <c r="A230" s="2">
        <v>44643.0</v>
      </c>
      <c r="B230" s="1">
        <v>23.04</v>
      </c>
      <c r="C230" s="1">
        <v>24.03</v>
      </c>
      <c r="D230" s="1">
        <v>22.64</v>
      </c>
      <c r="E230" s="1">
        <v>23.57</v>
      </c>
      <c r="F230" s="6">
        <f t="shared" si="1"/>
        <v>4</v>
      </c>
    </row>
    <row r="231">
      <c r="A231" s="2">
        <v>44644.0</v>
      </c>
      <c r="B231" s="1">
        <v>23.61</v>
      </c>
      <c r="C231" s="1">
        <v>23.79</v>
      </c>
      <c r="D231" s="1">
        <v>21.49</v>
      </c>
      <c r="E231" s="1">
        <v>21.67</v>
      </c>
      <c r="F231" s="6">
        <f t="shared" si="1"/>
        <v>0</v>
      </c>
    </row>
    <row r="232" hidden="1">
      <c r="A232" s="2">
        <v>44645.0</v>
      </c>
      <c r="B232" s="1">
        <v>21.87</v>
      </c>
      <c r="C232" s="1">
        <v>22.86</v>
      </c>
      <c r="D232" s="1">
        <v>20.8</v>
      </c>
      <c r="E232" s="1">
        <v>20.81</v>
      </c>
      <c r="F232" s="6">
        <f t="shared" si="1"/>
        <v>1</v>
      </c>
    </row>
    <row r="233" hidden="1">
      <c r="A233" s="2">
        <v>44648.0</v>
      </c>
      <c r="B233" s="1">
        <v>22.14</v>
      </c>
      <c r="C233" s="1">
        <v>23.33</v>
      </c>
      <c r="D233" s="1">
        <v>19.54</v>
      </c>
      <c r="E233" s="1">
        <v>19.63</v>
      </c>
      <c r="F233" s="6">
        <f t="shared" si="1"/>
        <v>2</v>
      </c>
    </row>
    <row r="234" hidden="1">
      <c r="A234" s="2">
        <v>44649.0</v>
      </c>
      <c r="B234" s="1">
        <v>19.7</v>
      </c>
      <c r="C234" s="1">
        <v>19.73</v>
      </c>
      <c r="D234" s="1">
        <v>18.67</v>
      </c>
      <c r="E234" s="1">
        <v>18.9</v>
      </c>
      <c r="F234" s="6">
        <f t="shared" si="1"/>
        <v>3</v>
      </c>
    </row>
    <row r="235" hidden="1">
      <c r="A235" s="2">
        <v>44650.0</v>
      </c>
      <c r="B235" s="1">
        <v>19.38</v>
      </c>
      <c r="C235" s="1">
        <v>20.51</v>
      </c>
      <c r="D235" s="1">
        <v>18.72</v>
      </c>
      <c r="E235" s="1">
        <v>19.33</v>
      </c>
      <c r="F235" s="6">
        <f t="shared" si="1"/>
        <v>4</v>
      </c>
    </row>
    <row r="236">
      <c r="A236" s="2">
        <v>44651.0</v>
      </c>
      <c r="B236" s="1">
        <v>19.68</v>
      </c>
      <c r="C236" s="1">
        <v>21.48</v>
      </c>
      <c r="D236" s="1">
        <v>19.54</v>
      </c>
      <c r="E236" s="1">
        <v>20.56</v>
      </c>
      <c r="F236" s="6">
        <f t="shared" si="1"/>
        <v>0</v>
      </c>
    </row>
    <row r="237" hidden="1">
      <c r="A237" s="2">
        <v>44652.0</v>
      </c>
      <c r="B237" s="1">
        <v>20.62</v>
      </c>
      <c r="C237" s="1">
        <v>20.86</v>
      </c>
      <c r="D237" s="1">
        <v>19.41</v>
      </c>
      <c r="E237" s="1">
        <v>19.63</v>
      </c>
      <c r="F237" s="6">
        <f t="shared" si="1"/>
        <v>1</v>
      </c>
    </row>
    <row r="238" hidden="1">
      <c r="A238" s="2">
        <v>44655.0</v>
      </c>
      <c r="B238" s="1">
        <v>20.75</v>
      </c>
      <c r="C238" s="1">
        <v>20.78</v>
      </c>
      <c r="D238" s="1">
        <v>18.45</v>
      </c>
      <c r="E238" s="1">
        <v>18.57</v>
      </c>
      <c r="F238" s="6">
        <f t="shared" si="1"/>
        <v>2</v>
      </c>
    </row>
    <row r="239" hidden="1">
      <c r="A239" s="2">
        <v>44656.0</v>
      </c>
      <c r="B239" s="1">
        <v>18.79</v>
      </c>
      <c r="C239" s="1">
        <v>21.57</v>
      </c>
      <c r="D239" s="1">
        <v>18.55</v>
      </c>
      <c r="E239" s="1">
        <v>21.03</v>
      </c>
      <c r="F239" s="6">
        <f t="shared" si="1"/>
        <v>3</v>
      </c>
    </row>
    <row r="240" hidden="1">
      <c r="A240" s="2">
        <v>44657.0</v>
      </c>
      <c r="B240" s="1">
        <v>21.27</v>
      </c>
      <c r="C240" s="1">
        <v>24.78</v>
      </c>
      <c r="D240" s="1">
        <v>21.24</v>
      </c>
      <c r="E240" s="1">
        <v>22.1</v>
      </c>
      <c r="F240" s="6">
        <f t="shared" si="1"/>
        <v>4</v>
      </c>
    </row>
    <row r="241">
      <c r="A241" s="2">
        <v>44658.0</v>
      </c>
      <c r="B241" s="1">
        <v>21.97</v>
      </c>
      <c r="C241" s="1">
        <v>23.82</v>
      </c>
      <c r="D241" s="1">
        <v>21.12</v>
      </c>
      <c r="E241" s="1">
        <v>21.55</v>
      </c>
      <c r="F241" s="6">
        <f t="shared" si="1"/>
        <v>0</v>
      </c>
    </row>
    <row r="242" hidden="1">
      <c r="A242" s="2">
        <v>44659.0</v>
      </c>
      <c r="B242" s="1">
        <v>21.25</v>
      </c>
      <c r="C242" s="1">
        <v>22.34</v>
      </c>
      <c r="D242" s="1">
        <v>20.28</v>
      </c>
      <c r="E242" s="1">
        <v>21.16</v>
      </c>
      <c r="F242" s="6">
        <f t="shared" si="1"/>
        <v>1</v>
      </c>
    </row>
    <row r="243" hidden="1">
      <c r="A243" s="2">
        <v>44662.0</v>
      </c>
      <c r="B243" s="1">
        <v>23.09</v>
      </c>
      <c r="C243" s="1">
        <v>24.42</v>
      </c>
      <c r="D243" s="1">
        <v>22.09</v>
      </c>
      <c r="E243" s="1">
        <v>24.37</v>
      </c>
      <c r="F243" s="6">
        <f t="shared" si="1"/>
        <v>2</v>
      </c>
    </row>
    <row r="244" hidden="1">
      <c r="A244" s="2">
        <v>44663.0</v>
      </c>
      <c r="B244" s="1">
        <v>24.94</v>
      </c>
      <c r="C244" s="1">
        <v>25.38</v>
      </c>
      <c r="D244" s="1">
        <v>22.27</v>
      </c>
      <c r="E244" s="1">
        <v>24.26</v>
      </c>
      <c r="F244" s="6">
        <f t="shared" si="1"/>
        <v>3</v>
      </c>
    </row>
    <row r="245" hidden="1">
      <c r="A245" s="2">
        <v>44664.0</v>
      </c>
      <c r="B245" s="1">
        <v>23.52</v>
      </c>
      <c r="C245" s="1">
        <v>24.45</v>
      </c>
      <c r="D245" s="1">
        <v>21.37</v>
      </c>
      <c r="E245" s="1">
        <v>21.82</v>
      </c>
      <c r="F245" s="6">
        <f t="shared" si="1"/>
        <v>4</v>
      </c>
    </row>
    <row r="246">
      <c r="A246" s="2">
        <v>44665.0</v>
      </c>
      <c r="B246" s="1">
        <v>21.72</v>
      </c>
      <c r="C246" s="1">
        <v>22.7</v>
      </c>
      <c r="D246" s="1">
        <v>20.85</v>
      </c>
      <c r="E246" s="1">
        <v>22.7</v>
      </c>
      <c r="F246" s="6">
        <f t="shared" si="1"/>
        <v>0</v>
      </c>
    </row>
    <row r="247" hidden="1">
      <c r="A247" s="2">
        <v>44669.0</v>
      </c>
      <c r="B247" s="1">
        <v>24.52</v>
      </c>
      <c r="C247" s="1">
        <v>24.6</v>
      </c>
      <c r="D247" s="1">
        <v>21.98</v>
      </c>
      <c r="E247" s="1">
        <v>22.17</v>
      </c>
      <c r="F247" s="6">
        <f t="shared" si="1"/>
        <v>1</v>
      </c>
    </row>
    <row r="248" hidden="1">
      <c r="A248" s="2">
        <v>44670.0</v>
      </c>
      <c r="B248" s="1">
        <v>22.55</v>
      </c>
      <c r="C248" s="1">
        <v>22.92</v>
      </c>
      <c r="D248" s="1">
        <v>20.36</v>
      </c>
      <c r="E248" s="1">
        <v>21.37</v>
      </c>
      <c r="F248" s="6">
        <f t="shared" si="1"/>
        <v>2</v>
      </c>
    </row>
    <row r="249" hidden="1">
      <c r="A249" s="2">
        <v>44671.0</v>
      </c>
      <c r="B249" s="1">
        <v>21.13</v>
      </c>
      <c r="C249" s="1">
        <v>21.32</v>
      </c>
      <c r="D249" s="1">
        <v>19.75</v>
      </c>
      <c r="E249" s="1">
        <v>20.32</v>
      </c>
      <c r="F249" s="6">
        <f t="shared" si="1"/>
        <v>3</v>
      </c>
    </row>
    <row r="250" hidden="1">
      <c r="A250" s="2">
        <v>44672.0</v>
      </c>
      <c r="B250" s="1">
        <v>20.24</v>
      </c>
      <c r="C250" s="1">
        <v>23.28</v>
      </c>
      <c r="D250" s="1">
        <v>19.81</v>
      </c>
      <c r="E250" s="1">
        <v>22.68</v>
      </c>
      <c r="F250" s="6">
        <f t="shared" si="1"/>
        <v>4</v>
      </c>
    </row>
    <row r="251">
      <c r="A251" s="2">
        <v>44673.0</v>
      </c>
      <c r="B251" s="1">
        <v>22.71</v>
      </c>
      <c r="C251" s="1">
        <v>28.27</v>
      </c>
      <c r="D251" s="1">
        <v>22.62</v>
      </c>
      <c r="E251" s="1">
        <v>28.21</v>
      </c>
      <c r="F251" s="6">
        <f t="shared" si="1"/>
        <v>0</v>
      </c>
    </row>
    <row r="252" hidden="1">
      <c r="A252" s="2">
        <v>44676.0</v>
      </c>
      <c r="B252" s="1">
        <v>30.04</v>
      </c>
      <c r="C252" s="1">
        <v>31.6</v>
      </c>
      <c r="D252" s="1">
        <v>26.8</v>
      </c>
      <c r="E252" s="1">
        <v>27.02</v>
      </c>
      <c r="F252" s="6">
        <f t="shared" si="1"/>
        <v>1</v>
      </c>
    </row>
    <row r="253" hidden="1">
      <c r="A253" s="2">
        <v>44677.0</v>
      </c>
      <c r="B253" s="1">
        <v>27.38</v>
      </c>
      <c r="C253" s="1">
        <v>33.81</v>
      </c>
      <c r="D253" s="1">
        <v>27.06</v>
      </c>
      <c r="E253" s="1">
        <v>33.52</v>
      </c>
      <c r="F253" s="6">
        <f t="shared" si="1"/>
        <v>2</v>
      </c>
    </row>
    <row r="254" hidden="1">
      <c r="A254" s="2">
        <v>44678.0</v>
      </c>
      <c r="B254" s="1">
        <v>31.11</v>
      </c>
      <c r="C254" s="1">
        <v>32.77</v>
      </c>
      <c r="D254" s="1">
        <v>29.82</v>
      </c>
      <c r="E254" s="1">
        <v>31.6</v>
      </c>
      <c r="F254" s="6">
        <f t="shared" si="1"/>
        <v>3</v>
      </c>
    </row>
    <row r="255" hidden="1">
      <c r="A255" s="2">
        <v>44679.0</v>
      </c>
      <c r="B255" s="1">
        <v>29.91</v>
      </c>
      <c r="C255" s="1">
        <v>32.0</v>
      </c>
      <c r="D255" s="1">
        <v>28.0</v>
      </c>
      <c r="E255" s="1">
        <v>29.99</v>
      </c>
      <c r="F255" s="6">
        <f t="shared" si="1"/>
        <v>4</v>
      </c>
    </row>
    <row r="256">
      <c r="A256" s="2">
        <v>44680.0</v>
      </c>
      <c r="B256" s="1">
        <v>28.97</v>
      </c>
      <c r="C256" s="1">
        <v>34.34</v>
      </c>
      <c r="D256" s="1">
        <v>28.54</v>
      </c>
      <c r="E256" s="1">
        <v>33.4</v>
      </c>
      <c r="F256" s="6">
        <f t="shared" si="1"/>
        <v>0</v>
      </c>
    </row>
    <row r="257" hidden="1">
      <c r="A257" s="2">
        <v>44683.0</v>
      </c>
      <c r="B257" s="1">
        <v>33.35</v>
      </c>
      <c r="C257" s="1">
        <v>36.64</v>
      </c>
      <c r="D257" s="1">
        <v>31.74</v>
      </c>
      <c r="E257" s="1">
        <v>32.34</v>
      </c>
      <c r="F257" s="6">
        <f t="shared" si="1"/>
        <v>1</v>
      </c>
    </row>
    <row r="258" hidden="1">
      <c r="A258" s="2">
        <v>44684.0</v>
      </c>
      <c r="B258" s="1">
        <v>31.76</v>
      </c>
      <c r="C258" s="1">
        <v>32.82</v>
      </c>
      <c r="D258" s="1">
        <v>29.06</v>
      </c>
      <c r="E258" s="1">
        <v>29.25</v>
      </c>
      <c r="F258" s="6">
        <f t="shared" si="1"/>
        <v>2</v>
      </c>
    </row>
    <row r="259" hidden="1">
      <c r="A259" s="2">
        <v>44685.0</v>
      </c>
      <c r="B259" s="1">
        <v>29.12</v>
      </c>
      <c r="C259" s="1">
        <v>29.42</v>
      </c>
      <c r="D259" s="1">
        <v>24.94</v>
      </c>
      <c r="E259" s="1">
        <v>25.42</v>
      </c>
      <c r="F259" s="6">
        <f t="shared" si="1"/>
        <v>3</v>
      </c>
    </row>
    <row r="260" hidden="1">
      <c r="A260" s="2">
        <v>44686.0</v>
      </c>
      <c r="B260" s="1">
        <v>25.97</v>
      </c>
      <c r="C260" s="1">
        <v>33.2</v>
      </c>
      <c r="D260" s="1">
        <v>25.78</v>
      </c>
      <c r="E260" s="1">
        <v>31.2</v>
      </c>
      <c r="F260" s="6">
        <f t="shared" si="1"/>
        <v>4</v>
      </c>
    </row>
    <row r="261">
      <c r="A261" s="2">
        <v>44687.0</v>
      </c>
      <c r="B261" s="1">
        <v>32.23</v>
      </c>
      <c r="C261" s="1">
        <v>35.34</v>
      </c>
      <c r="D261" s="1">
        <v>29.83</v>
      </c>
      <c r="E261" s="1">
        <v>30.19</v>
      </c>
      <c r="F261" s="6">
        <f t="shared" si="1"/>
        <v>0</v>
      </c>
    </row>
    <row r="262" hidden="1">
      <c r="A262" s="2">
        <v>44690.0</v>
      </c>
      <c r="B262" s="1">
        <v>31.9</v>
      </c>
      <c r="C262" s="1">
        <v>35.48</v>
      </c>
      <c r="D262" s="1">
        <v>31.9</v>
      </c>
      <c r="E262" s="1">
        <v>34.75</v>
      </c>
      <c r="F262" s="6">
        <f t="shared" si="1"/>
        <v>1</v>
      </c>
    </row>
    <row r="263" hidden="1">
      <c r="A263" s="2">
        <v>44691.0</v>
      </c>
      <c r="B263" s="1">
        <v>33.66</v>
      </c>
      <c r="C263" s="1">
        <v>34.84</v>
      </c>
      <c r="D263" s="1">
        <v>32.24</v>
      </c>
      <c r="E263" s="1">
        <v>32.99</v>
      </c>
      <c r="F263" s="6">
        <f t="shared" si="1"/>
        <v>2</v>
      </c>
    </row>
    <row r="264" hidden="1">
      <c r="A264" s="2">
        <v>44692.0</v>
      </c>
      <c r="B264" s="1">
        <v>32.87</v>
      </c>
      <c r="C264" s="1">
        <v>34.39</v>
      </c>
      <c r="D264" s="1">
        <v>30.69</v>
      </c>
      <c r="E264" s="1">
        <v>32.56</v>
      </c>
      <c r="F264" s="6">
        <f t="shared" si="1"/>
        <v>3</v>
      </c>
    </row>
    <row r="265" hidden="1">
      <c r="A265" s="2">
        <v>44693.0</v>
      </c>
      <c r="B265" s="1">
        <v>33.74</v>
      </c>
      <c r="C265" s="1">
        <v>34.76</v>
      </c>
      <c r="D265" s="1">
        <v>31.7</v>
      </c>
      <c r="E265" s="1">
        <v>31.77</v>
      </c>
      <c r="F265" s="6">
        <f t="shared" si="1"/>
        <v>4</v>
      </c>
    </row>
    <row r="266">
      <c r="A266" s="2">
        <v>44694.0</v>
      </c>
      <c r="B266" s="1">
        <v>31.09</v>
      </c>
      <c r="C266" s="1">
        <v>31.2</v>
      </c>
      <c r="D266" s="1">
        <v>28.78</v>
      </c>
      <c r="E266" s="1">
        <v>28.87</v>
      </c>
      <c r="F266" s="6">
        <f t="shared" si="1"/>
        <v>0</v>
      </c>
    </row>
    <row r="267" hidden="1">
      <c r="A267" s="2">
        <v>44697.0</v>
      </c>
      <c r="B267" s="1">
        <v>30.01</v>
      </c>
      <c r="C267" s="1">
        <v>30.23</v>
      </c>
      <c r="D267" s="1">
        <v>27.36</v>
      </c>
      <c r="E267" s="1">
        <v>27.47</v>
      </c>
      <c r="F267" s="6">
        <f t="shared" si="1"/>
        <v>1</v>
      </c>
    </row>
    <row r="268" hidden="1">
      <c r="A268" s="2">
        <v>44698.0</v>
      </c>
      <c r="B268" s="1">
        <v>27.07</v>
      </c>
      <c r="C268" s="1">
        <v>27.17</v>
      </c>
      <c r="D268" s="1">
        <v>25.51</v>
      </c>
      <c r="E268" s="1">
        <v>26.1</v>
      </c>
      <c r="F268" s="6">
        <f t="shared" si="1"/>
        <v>2</v>
      </c>
    </row>
    <row r="269" hidden="1">
      <c r="A269" s="2">
        <v>44699.0</v>
      </c>
      <c r="B269" s="1">
        <v>26.74</v>
      </c>
      <c r="C269" s="1">
        <v>31.49</v>
      </c>
      <c r="D269" s="1">
        <v>26.21</v>
      </c>
      <c r="E269" s="1">
        <v>30.96</v>
      </c>
      <c r="F269" s="6">
        <f t="shared" si="1"/>
        <v>3</v>
      </c>
    </row>
    <row r="270" hidden="1">
      <c r="A270" s="2">
        <v>44700.0</v>
      </c>
      <c r="B270" s="1">
        <v>31.24</v>
      </c>
      <c r="C270" s="1">
        <v>33.11</v>
      </c>
      <c r="D270" s="1">
        <v>29.06</v>
      </c>
      <c r="E270" s="1">
        <v>29.35</v>
      </c>
      <c r="F270" s="6">
        <f t="shared" si="1"/>
        <v>4</v>
      </c>
    </row>
    <row r="271">
      <c r="A271" s="2">
        <v>44701.0</v>
      </c>
      <c r="B271" s="1">
        <v>28.78</v>
      </c>
      <c r="C271" s="1">
        <v>32.91</v>
      </c>
      <c r="D271" s="1">
        <v>28.06</v>
      </c>
      <c r="E271" s="1">
        <v>29.43</v>
      </c>
      <c r="F271" s="6">
        <f t="shared" si="1"/>
        <v>0</v>
      </c>
    </row>
    <row r="272" hidden="1">
      <c r="A272" s="2">
        <v>44704.0</v>
      </c>
      <c r="B272" s="1">
        <v>28.98</v>
      </c>
      <c r="C272" s="1">
        <v>30.39</v>
      </c>
      <c r="D272" s="1">
        <v>28.29</v>
      </c>
      <c r="E272" s="1">
        <v>28.48</v>
      </c>
      <c r="F272" s="6">
        <f t="shared" si="1"/>
        <v>1</v>
      </c>
    </row>
    <row r="273" hidden="1">
      <c r="A273" s="2">
        <v>44705.0</v>
      </c>
      <c r="B273" s="1">
        <v>29.43</v>
      </c>
      <c r="C273" s="1">
        <v>31.07</v>
      </c>
      <c r="D273" s="1">
        <v>29.04</v>
      </c>
      <c r="E273" s="1">
        <v>29.45</v>
      </c>
      <c r="F273" s="6">
        <f t="shared" si="1"/>
        <v>2</v>
      </c>
    </row>
    <row r="274" hidden="1">
      <c r="A274" s="2">
        <v>44706.0</v>
      </c>
      <c r="B274" s="1">
        <v>29.33</v>
      </c>
      <c r="C274" s="1">
        <v>30.23</v>
      </c>
      <c r="D274" s="1">
        <v>28.16</v>
      </c>
      <c r="E274" s="1">
        <v>28.37</v>
      </c>
      <c r="F274" s="6">
        <f t="shared" si="1"/>
        <v>3</v>
      </c>
    </row>
    <row r="275" hidden="1">
      <c r="A275" s="2">
        <v>44707.0</v>
      </c>
      <c r="B275" s="1">
        <v>28.42</v>
      </c>
      <c r="C275" s="1">
        <v>28.46</v>
      </c>
      <c r="D275" s="1">
        <v>27.11</v>
      </c>
      <c r="E275" s="1">
        <v>27.5</v>
      </c>
      <c r="F275" s="6">
        <f t="shared" si="1"/>
        <v>4</v>
      </c>
    </row>
    <row r="276">
      <c r="A276" s="2">
        <v>44708.0</v>
      </c>
      <c r="B276" s="1">
        <v>27.5</v>
      </c>
      <c r="C276" s="1">
        <v>27.54</v>
      </c>
      <c r="D276" s="1">
        <v>25.57</v>
      </c>
      <c r="E276" s="1">
        <v>25.72</v>
      </c>
      <c r="F276" s="6">
        <f t="shared" si="1"/>
        <v>0</v>
      </c>
    </row>
    <row r="277" hidden="1">
      <c r="A277" s="2">
        <v>44711.0</v>
      </c>
      <c r="B277" s="1">
        <v>26.16</v>
      </c>
      <c r="C277" s="1">
        <v>26.81</v>
      </c>
      <c r="D277" s="1">
        <v>26.08</v>
      </c>
      <c r="E277" s="1">
        <v>26.54</v>
      </c>
      <c r="F277" s="6">
        <f t="shared" si="1"/>
        <v>1</v>
      </c>
    </row>
    <row r="278" hidden="1">
      <c r="A278" s="2">
        <v>44712.0</v>
      </c>
      <c r="B278" s="1">
        <v>27.47</v>
      </c>
      <c r="C278" s="1">
        <v>28.35</v>
      </c>
      <c r="D278" s="1">
        <v>25.94</v>
      </c>
      <c r="E278" s="1">
        <v>26.19</v>
      </c>
      <c r="F278" s="6">
        <f t="shared" si="1"/>
        <v>2</v>
      </c>
    </row>
    <row r="279" hidden="1">
      <c r="A279" s="2">
        <v>44713.0</v>
      </c>
      <c r="B279" s="1">
        <v>26.05</v>
      </c>
      <c r="C279" s="1">
        <v>27.73</v>
      </c>
      <c r="D279" s="1">
        <v>25.38</v>
      </c>
      <c r="E279" s="1">
        <v>25.69</v>
      </c>
      <c r="F279" s="6">
        <f t="shared" si="1"/>
        <v>3</v>
      </c>
    </row>
    <row r="280" hidden="1">
      <c r="A280" s="2">
        <v>44714.0</v>
      </c>
      <c r="B280" s="1">
        <v>25.73</v>
      </c>
      <c r="C280" s="1">
        <v>26.5</v>
      </c>
      <c r="D280" s="1">
        <v>24.33</v>
      </c>
      <c r="E280" s="1">
        <v>24.72</v>
      </c>
      <c r="F280" s="6">
        <f t="shared" si="1"/>
        <v>4</v>
      </c>
    </row>
    <row r="281">
      <c r="A281" s="2">
        <v>44715.0</v>
      </c>
      <c r="B281" s="1">
        <v>24.91</v>
      </c>
      <c r="C281" s="1">
        <v>25.96</v>
      </c>
      <c r="D281" s="1">
        <v>24.76</v>
      </c>
      <c r="E281" s="1">
        <v>24.79</v>
      </c>
      <c r="F281" s="6">
        <f t="shared" si="1"/>
        <v>0</v>
      </c>
    </row>
    <row r="282" hidden="1">
      <c r="A282" s="2">
        <v>44718.0</v>
      </c>
      <c r="B282" s="1">
        <v>25.37</v>
      </c>
      <c r="C282" s="1">
        <v>25.81</v>
      </c>
      <c r="D282" s="1">
        <v>24.82</v>
      </c>
      <c r="E282" s="1">
        <v>25.07</v>
      </c>
      <c r="F282" s="6">
        <f t="shared" si="1"/>
        <v>1</v>
      </c>
    </row>
    <row r="283" hidden="1">
      <c r="A283" s="2">
        <v>44719.0</v>
      </c>
      <c r="B283" s="1">
        <v>25.54</v>
      </c>
      <c r="C283" s="1">
        <v>26.24</v>
      </c>
      <c r="D283" s="1">
        <v>23.88</v>
      </c>
      <c r="E283" s="1">
        <v>24.02</v>
      </c>
      <c r="F283" s="6">
        <f t="shared" si="1"/>
        <v>2</v>
      </c>
    </row>
    <row r="284" hidden="1">
      <c r="A284" s="2">
        <v>44720.0</v>
      </c>
      <c r="B284" s="1">
        <v>24.37</v>
      </c>
      <c r="C284" s="1">
        <v>24.78</v>
      </c>
      <c r="D284" s="1">
        <v>23.74</v>
      </c>
      <c r="E284" s="1">
        <v>23.96</v>
      </c>
      <c r="F284" s="6">
        <f t="shared" si="1"/>
        <v>3</v>
      </c>
    </row>
    <row r="285" hidden="1">
      <c r="A285" s="2">
        <v>44721.0</v>
      </c>
      <c r="B285" s="1">
        <v>24.29</v>
      </c>
      <c r="C285" s="1">
        <v>26.24</v>
      </c>
      <c r="D285" s="1">
        <v>23.82</v>
      </c>
      <c r="E285" s="1">
        <v>26.09</v>
      </c>
      <c r="F285" s="6">
        <f t="shared" si="1"/>
        <v>4</v>
      </c>
    </row>
    <row r="286">
      <c r="A286" s="2">
        <v>44722.0</v>
      </c>
      <c r="B286" s="1">
        <v>26.26</v>
      </c>
      <c r="C286" s="1">
        <v>29.63</v>
      </c>
      <c r="D286" s="1">
        <v>26.05</v>
      </c>
      <c r="E286" s="1">
        <v>27.75</v>
      </c>
      <c r="F286" s="6">
        <f t="shared" si="1"/>
        <v>0</v>
      </c>
    </row>
    <row r="287" hidden="1">
      <c r="A287" s="2">
        <v>44725.0</v>
      </c>
      <c r="B287" s="1">
        <v>31.37</v>
      </c>
      <c r="C287" s="1">
        <v>35.05</v>
      </c>
      <c r="D287" s="1">
        <v>31.29</v>
      </c>
      <c r="E287" s="1">
        <v>34.02</v>
      </c>
      <c r="F287" s="6">
        <f t="shared" si="1"/>
        <v>1</v>
      </c>
    </row>
    <row r="288" hidden="1">
      <c r="A288" s="2">
        <v>44726.0</v>
      </c>
      <c r="B288" s="1">
        <v>33.01</v>
      </c>
      <c r="C288" s="1">
        <v>34.0</v>
      </c>
      <c r="D288" s="1">
        <v>32.06</v>
      </c>
      <c r="E288" s="1">
        <v>32.69</v>
      </c>
      <c r="F288" s="6">
        <f t="shared" si="1"/>
        <v>2</v>
      </c>
    </row>
    <row r="289" hidden="1">
      <c r="A289" s="2">
        <v>44727.0</v>
      </c>
      <c r="B289" s="1">
        <v>32.39</v>
      </c>
      <c r="C289" s="1">
        <v>32.77</v>
      </c>
      <c r="D289" s="1">
        <v>27.76</v>
      </c>
      <c r="E289" s="1">
        <v>29.62</v>
      </c>
      <c r="F289" s="6">
        <f t="shared" si="1"/>
        <v>3</v>
      </c>
    </row>
    <row r="290" hidden="1">
      <c r="A290" s="2">
        <v>44728.0</v>
      </c>
      <c r="B290" s="1">
        <v>30.35</v>
      </c>
      <c r="C290" s="1">
        <v>34.82</v>
      </c>
      <c r="D290" s="1">
        <v>30.35</v>
      </c>
      <c r="E290" s="1">
        <v>32.95</v>
      </c>
      <c r="F290" s="6">
        <f t="shared" si="1"/>
        <v>4</v>
      </c>
    </row>
    <row r="291">
      <c r="A291" s="2">
        <v>44729.0</v>
      </c>
      <c r="B291" s="1">
        <v>32.84</v>
      </c>
      <c r="C291" s="1">
        <v>33.31</v>
      </c>
      <c r="D291" s="1">
        <v>30.47</v>
      </c>
      <c r="E291" s="1">
        <v>31.13</v>
      </c>
      <c r="F291" s="6">
        <f t="shared" si="1"/>
        <v>0</v>
      </c>
    </row>
    <row r="292" hidden="1">
      <c r="A292" s="2">
        <v>44732.0</v>
      </c>
      <c r="B292" s="1">
        <v>32.06</v>
      </c>
      <c r="C292" s="1">
        <v>32.16</v>
      </c>
      <c r="D292" s="1">
        <v>30.98</v>
      </c>
      <c r="E292" s="1">
        <v>31.03</v>
      </c>
      <c r="F292" s="6">
        <f t="shared" si="1"/>
        <v>1</v>
      </c>
    </row>
    <row r="293" hidden="1">
      <c r="A293" s="2">
        <v>44733.0</v>
      </c>
      <c r="B293" s="1">
        <v>30.63</v>
      </c>
      <c r="C293" s="1">
        <v>30.65</v>
      </c>
      <c r="D293" s="1">
        <v>29.33</v>
      </c>
      <c r="E293" s="1">
        <v>30.19</v>
      </c>
      <c r="F293" s="6">
        <f t="shared" si="1"/>
        <v>2</v>
      </c>
    </row>
    <row r="294" hidden="1">
      <c r="A294" s="2">
        <v>44734.0</v>
      </c>
      <c r="B294" s="1">
        <v>31.45</v>
      </c>
      <c r="C294" s="1">
        <v>31.57</v>
      </c>
      <c r="D294" s="1">
        <v>28.78</v>
      </c>
      <c r="E294" s="1">
        <v>28.95</v>
      </c>
      <c r="F294" s="6">
        <f t="shared" si="1"/>
        <v>3</v>
      </c>
    </row>
    <row r="295" hidden="1">
      <c r="A295" s="2">
        <v>44735.0</v>
      </c>
      <c r="B295" s="1">
        <v>29.29</v>
      </c>
      <c r="C295" s="1">
        <v>29.77</v>
      </c>
      <c r="D295" s="1">
        <v>28.74</v>
      </c>
      <c r="E295" s="1">
        <v>29.05</v>
      </c>
      <c r="F295" s="6">
        <f t="shared" si="1"/>
        <v>4</v>
      </c>
    </row>
    <row r="296">
      <c r="A296" s="2">
        <v>44736.0</v>
      </c>
      <c r="B296" s="1">
        <v>29.07</v>
      </c>
      <c r="C296" s="1">
        <v>29.72</v>
      </c>
      <c r="D296" s="1">
        <v>26.83</v>
      </c>
      <c r="E296" s="1">
        <v>27.23</v>
      </c>
      <c r="F296" s="6">
        <f t="shared" si="1"/>
        <v>0</v>
      </c>
    </row>
    <row r="297" hidden="1">
      <c r="A297" s="2">
        <v>44739.0</v>
      </c>
      <c r="B297" s="1">
        <v>28.3</v>
      </c>
      <c r="C297" s="1">
        <v>28.66</v>
      </c>
      <c r="D297" s="1">
        <v>26.93</v>
      </c>
      <c r="E297" s="1">
        <v>26.95</v>
      </c>
      <c r="F297" s="6">
        <f t="shared" si="1"/>
        <v>1</v>
      </c>
    </row>
    <row r="298" hidden="1">
      <c r="A298" s="2">
        <v>44740.0</v>
      </c>
      <c r="B298" s="1">
        <v>26.9</v>
      </c>
      <c r="C298" s="1">
        <v>28.68</v>
      </c>
      <c r="D298" s="1">
        <v>26.47</v>
      </c>
      <c r="E298" s="1">
        <v>28.36</v>
      </c>
      <c r="F298" s="6">
        <f t="shared" si="1"/>
        <v>2</v>
      </c>
    </row>
    <row r="299" hidden="1">
      <c r="A299" s="2">
        <v>44741.0</v>
      </c>
      <c r="B299" s="1">
        <v>28.8</v>
      </c>
      <c r="C299" s="1">
        <v>29.36</v>
      </c>
      <c r="D299" s="1">
        <v>27.85</v>
      </c>
      <c r="E299" s="1">
        <v>28.16</v>
      </c>
      <c r="F299" s="6">
        <f t="shared" si="1"/>
        <v>3</v>
      </c>
    </row>
    <row r="300" hidden="1">
      <c r="A300" s="2">
        <v>44742.0</v>
      </c>
      <c r="B300" s="1">
        <v>29.42</v>
      </c>
      <c r="C300" s="1">
        <v>30.22</v>
      </c>
      <c r="D300" s="1">
        <v>28.28</v>
      </c>
      <c r="E300" s="1">
        <v>28.71</v>
      </c>
      <c r="F300" s="6">
        <f t="shared" si="1"/>
        <v>4</v>
      </c>
    </row>
    <row r="301">
      <c r="A301" s="2">
        <v>44743.0</v>
      </c>
      <c r="B301" s="1">
        <v>29.53</v>
      </c>
      <c r="C301" s="1">
        <v>29.59</v>
      </c>
      <c r="D301" s="1">
        <v>26.69</v>
      </c>
      <c r="E301" s="1">
        <v>26.7</v>
      </c>
      <c r="F301" s="6">
        <f t="shared" si="1"/>
        <v>0</v>
      </c>
    </row>
    <row r="302" hidden="1">
      <c r="A302" s="2">
        <v>44746.0</v>
      </c>
      <c r="B302" s="1">
        <v>27.96</v>
      </c>
      <c r="C302" s="1">
        <v>28.1</v>
      </c>
      <c r="D302" s="1">
        <v>27.46</v>
      </c>
      <c r="E302" s="1">
        <v>27.53</v>
      </c>
      <c r="F302" s="6">
        <f t="shared" si="1"/>
        <v>1</v>
      </c>
    </row>
    <row r="303" hidden="1">
      <c r="A303" s="2">
        <v>44747.0</v>
      </c>
      <c r="B303" s="1">
        <v>27.37</v>
      </c>
      <c r="C303" s="1">
        <v>29.82</v>
      </c>
      <c r="D303" s="1">
        <v>27.3</v>
      </c>
      <c r="E303" s="1">
        <v>27.54</v>
      </c>
      <c r="F303" s="6">
        <f t="shared" si="1"/>
        <v>2</v>
      </c>
    </row>
    <row r="304" hidden="1">
      <c r="A304" s="2">
        <v>44748.0</v>
      </c>
      <c r="B304" s="1">
        <v>27.84</v>
      </c>
      <c r="C304" s="1">
        <v>28.07</v>
      </c>
      <c r="D304" s="1">
        <v>26.43</v>
      </c>
      <c r="E304" s="1">
        <v>26.73</v>
      </c>
      <c r="F304" s="6">
        <f t="shared" si="1"/>
        <v>3</v>
      </c>
    </row>
    <row r="305" hidden="1">
      <c r="A305" s="2">
        <v>44749.0</v>
      </c>
      <c r="B305" s="1">
        <v>26.73</v>
      </c>
      <c r="C305" s="1">
        <v>26.79</v>
      </c>
      <c r="D305" s="1">
        <v>25.66</v>
      </c>
      <c r="E305" s="1">
        <v>26.08</v>
      </c>
      <c r="F305" s="6">
        <f t="shared" si="1"/>
        <v>4</v>
      </c>
    </row>
    <row r="306">
      <c r="A306" s="2">
        <v>44750.0</v>
      </c>
      <c r="B306" s="1">
        <v>26.41</v>
      </c>
      <c r="C306" s="1">
        <v>26.61</v>
      </c>
      <c r="D306" s="1">
        <v>24.43</v>
      </c>
      <c r="E306" s="1">
        <v>24.64</v>
      </c>
      <c r="F306" s="6">
        <f t="shared" si="1"/>
        <v>0</v>
      </c>
    </row>
    <row r="307" hidden="1">
      <c r="A307" s="2">
        <v>44753.0</v>
      </c>
      <c r="B307" s="1">
        <v>26.42</v>
      </c>
      <c r="C307" s="1">
        <v>26.74</v>
      </c>
      <c r="D307" s="1">
        <v>25.79</v>
      </c>
      <c r="E307" s="1">
        <v>26.17</v>
      </c>
      <c r="F307" s="6">
        <f t="shared" si="1"/>
        <v>1</v>
      </c>
    </row>
    <row r="308" hidden="1">
      <c r="A308" s="2">
        <v>44754.0</v>
      </c>
      <c r="B308" s="1">
        <v>27.14</v>
      </c>
      <c r="C308" s="1">
        <v>27.75</v>
      </c>
      <c r="D308" s="1">
        <v>25.82</v>
      </c>
      <c r="E308" s="1">
        <v>27.29</v>
      </c>
      <c r="F308" s="6">
        <f t="shared" si="1"/>
        <v>2</v>
      </c>
    </row>
    <row r="309" hidden="1">
      <c r="A309" s="2">
        <v>44755.0</v>
      </c>
      <c r="B309" s="1">
        <v>27.35</v>
      </c>
      <c r="C309" s="1">
        <v>29.06</v>
      </c>
      <c r="D309" s="1">
        <v>26.23</v>
      </c>
      <c r="E309" s="1">
        <v>26.82</v>
      </c>
      <c r="F309" s="6">
        <f t="shared" si="1"/>
        <v>3</v>
      </c>
    </row>
    <row r="310" hidden="1">
      <c r="A310" s="2">
        <v>44756.0</v>
      </c>
      <c r="B310" s="1">
        <v>27.47</v>
      </c>
      <c r="C310" s="1">
        <v>28.45</v>
      </c>
      <c r="D310" s="1">
        <v>26.2</v>
      </c>
      <c r="E310" s="1">
        <v>26.4</v>
      </c>
      <c r="F310" s="6">
        <f t="shared" si="1"/>
        <v>4</v>
      </c>
    </row>
    <row r="311">
      <c r="A311" s="2">
        <v>44757.0</v>
      </c>
      <c r="B311" s="1">
        <v>26.72</v>
      </c>
      <c r="C311" s="1">
        <v>26.72</v>
      </c>
      <c r="D311" s="1">
        <v>24.13</v>
      </c>
      <c r="E311" s="1">
        <v>24.23</v>
      </c>
      <c r="F311" s="6">
        <f t="shared" si="1"/>
        <v>0</v>
      </c>
    </row>
    <row r="312" hidden="1">
      <c r="A312" s="2">
        <v>44760.0</v>
      </c>
      <c r="B312" s="1">
        <v>24.83</v>
      </c>
      <c r="C312" s="1">
        <v>25.91</v>
      </c>
      <c r="D312" s="1">
        <v>24.38</v>
      </c>
      <c r="E312" s="1">
        <v>25.3</v>
      </c>
      <c r="F312" s="6">
        <f t="shared" si="1"/>
        <v>1</v>
      </c>
    </row>
    <row r="313" hidden="1">
      <c r="A313" s="2">
        <v>44761.0</v>
      </c>
      <c r="B313" s="1">
        <v>25.12</v>
      </c>
      <c r="C313" s="1">
        <v>25.41</v>
      </c>
      <c r="D313" s="1">
        <v>24.23</v>
      </c>
      <c r="E313" s="1">
        <v>24.5</v>
      </c>
      <c r="F313" s="6">
        <f t="shared" si="1"/>
        <v>2</v>
      </c>
    </row>
    <row r="314" hidden="1">
      <c r="A314" s="2">
        <v>44762.0</v>
      </c>
      <c r="B314" s="1">
        <v>24.23</v>
      </c>
      <c r="C314" s="1">
        <v>24.73</v>
      </c>
      <c r="D314" s="1">
        <v>23.4</v>
      </c>
      <c r="E314" s="1">
        <v>23.88</v>
      </c>
      <c r="F314" s="6">
        <f t="shared" si="1"/>
        <v>3</v>
      </c>
    </row>
    <row r="315" hidden="1">
      <c r="A315" s="2">
        <v>44763.0</v>
      </c>
      <c r="B315" s="1">
        <v>24.07</v>
      </c>
      <c r="C315" s="1">
        <v>24.67</v>
      </c>
      <c r="D315" s="1">
        <v>22.92</v>
      </c>
      <c r="E315" s="1">
        <v>23.11</v>
      </c>
      <c r="F315" s="6">
        <f t="shared" si="1"/>
        <v>4</v>
      </c>
    </row>
    <row r="316">
      <c r="A316" s="2">
        <v>44764.0</v>
      </c>
      <c r="B316" s="1">
        <v>23.3</v>
      </c>
      <c r="C316" s="1">
        <v>23.81</v>
      </c>
      <c r="D316" s="1">
        <v>22.41</v>
      </c>
      <c r="E316" s="1">
        <v>23.03</v>
      </c>
      <c r="F316" s="6">
        <f t="shared" si="1"/>
        <v>0</v>
      </c>
    </row>
    <row r="317" hidden="1">
      <c r="A317" s="2">
        <v>44767.0</v>
      </c>
      <c r="B317" s="1">
        <v>24.33</v>
      </c>
      <c r="C317" s="1">
        <v>24.57</v>
      </c>
      <c r="D317" s="1">
        <v>23.19</v>
      </c>
      <c r="E317" s="1">
        <v>23.36</v>
      </c>
      <c r="F317" s="6">
        <f t="shared" si="1"/>
        <v>1</v>
      </c>
    </row>
    <row r="318" hidden="1">
      <c r="A318" s="2">
        <v>44768.0</v>
      </c>
      <c r="B318" s="1">
        <v>23.95</v>
      </c>
      <c r="C318" s="1">
        <v>25.31</v>
      </c>
      <c r="D318" s="1">
        <v>23.82</v>
      </c>
      <c r="E318" s="1">
        <v>24.69</v>
      </c>
      <c r="F318" s="6">
        <f t="shared" si="1"/>
        <v>2</v>
      </c>
    </row>
    <row r="319" hidden="1">
      <c r="A319" s="2">
        <v>44769.0</v>
      </c>
      <c r="B319" s="1">
        <v>24.27</v>
      </c>
      <c r="C319" s="1">
        <v>24.41</v>
      </c>
      <c r="D319" s="1">
        <v>23.02</v>
      </c>
      <c r="E319" s="1">
        <v>23.24</v>
      </c>
      <c r="F319" s="6">
        <f t="shared" si="1"/>
        <v>3</v>
      </c>
    </row>
    <row r="320" hidden="1">
      <c r="A320" s="2">
        <v>44770.0</v>
      </c>
      <c r="B320" s="1">
        <v>23.33</v>
      </c>
      <c r="C320" s="1">
        <v>23.54</v>
      </c>
      <c r="D320" s="1">
        <v>22.22</v>
      </c>
      <c r="E320" s="1">
        <v>22.33</v>
      </c>
      <c r="F320" s="6">
        <f t="shared" si="1"/>
        <v>4</v>
      </c>
    </row>
    <row r="321">
      <c r="A321" s="2">
        <v>44771.0</v>
      </c>
      <c r="B321" s="1">
        <v>22.13</v>
      </c>
      <c r="C321" s="1">
        <v>22.16</v>
      </c>
      <c r="D321" s="1">
        <v>21.21</v>
      </c>
      <c r="E321" s="1">
        <v>21.33</v>
      </c>
      <c r="F321" s="6">
        <f t="shared" si="1"/>
        <v>0</v>
      </c>
    </row>
    <row r="322" hidden="1">
      <c r="A322" s="2">
        <v>44774.0</v>
      </c>
      <c r="B322" s="1">
        <v>22.41</v>
      </c>
      <c r="C322" s="1">
        <v>23.27</v>
      </c>
      <c r="D322" s="1">
        <v>22.26</v>
      </c>
      <c r="E322" s="1">
        <v>22.84</v>
      </c>
      <c r="F322" s="6">
        <f t="shared" si="1"/>
        <v>1</v>
      </c>
    </row>
    <row r="323" hidden="1">
      <c r="A323" s="2">
        <v>44775.0</v>
      </c>
      <c r="B323" s="1">
        <v>24.08</v>
      </c>
      <c r="C323" s="1">
        <v>24.68</v>
      </c>
      <c r="D323" s="1">
        <v>22.67</v>
      </c>
      <c r="E323" s="1">
        <v>23.93</v>
      </c>
      <c r="F323" s="6">
        <f t="shared" si="1"/>
        <v>2</v>
      </c>
    </row>
    <row r="324" hidden="1">
      <c r="A324" s="2">
        <v>44776.0</v>
      </c>
      <c r="B324" s="1">
        <v>23.86</v>
      </c>
      <c r="C324" s="1">
        <v>23.92</v>
      </c>
      <c r="D324" s="1">
        <v>21.68</v>
      </c>
      <c r="E324" s="1">
        <v>21.95</v>
      </c>
      <c r="F324" s="6">
        <f t="shared" si="1"/>
        <v>3</v>
      </c>
    </row>
    <row r="325" hidden="1">
      <c r="A325" s="2">
        <v>44777.0</v>
      </c>
      <c r="B325" s="1">
        <v>22.06</v>
      </c>
      <c r="C325" s="1">
        <v>22.66</v>
      </c>
      <c r="D325" s="1">
        <v>21.44</v>
      </c>
      <c r="E325" s="1">
        <v>21.44</v>
      </c>
      <c r="F325" s="6">
        <f t="shared" si="1"/>
        <v>4</v>
      </c>
    </row>
    <row r="326">
      <c r="A326" s="2">
        <v>44778.0</v>
      </c>
      <c r="B326" s="1">
        <v>21.5</v>
      </c>
      <c r="C326" s="1">
        <v>22.58</v>
      </c>
      <c r="D326" s="1">
        <v>20.76</v>
      </c>
      <c r="E326" s="1">
        <v>21.15</v>
      </c>
      <c r="F326" s="6">
        <f t="shared" si="1"/>
        <v>0</v>
      </c>
    </row>
    <row r="327" hidden="1">
      <c r="A327" s="2">
        <v>44781.0</v>
      </c>
      <c r="B327" s="1">
        <v>21.74</v>
      </c>
      <c r="C327" s="1">
        <v>22.01</v>
      </c>
      <c r="D327" s="1">
        <v>20.83</v>
      </c>
      <c r="E327" s="1">
        <v>21.29</v>
      </c>
      <c r="F327" s="6">
        <f t="shared" si="1"/>
        <v>1</v>
      </c>
    </row>
    <row r="328" hidden="1">
      <c r="A328" s="2">
        <v>44782.0</v>
      </c>
      <c r="B328" s="1">
        <v>21.41</v>
      </c>
      <c r="C328" s="1">
        <v>22.23</v>
      </c>
      <c r="D328" s="1">
        <v>21.41</v>
      </c>
      <c r="E328" s="1">
        <v>21.77</v>
      </c>
      <c r="F328" s="6">
        <f t="shared" si="1"/>
        <v>2</v>
      </c>
    </row>
    <row r="329" hidden="1">
      <c r="A329" s="2">
        <v>44783.0</v>
      </c>
      <c r="B329" s="1">
        <v>22.28</v>
      </c>
      <c r="C329" s="1">
        <v>22.34</v>
      </c>
      <c r="D329" s="1">
        <v>19.54</v>
      </c>
      <c r="E329" s="1">
        <v>19.74</v>
      </c>
      <c r="F329" s="6">
        <f t="shared" si="1"/>
        <v>3</v>
      </c>
    </row>
    <row r="330" hidden="1">
      <c r="A330" s="2">
        <v>44784.0</v>
      </c>
      <c r="B330" s="1">
        <v>19.84</v>
      </c>
      <c r="C330" s="1">
        <v>20.85</v>
      </c>
      <c r="D330" s="1">
        <v>19.71</v>
      </c>
      <c r="E330" s="1">
        <v>20.2</v>
      </c>
      <c r="F330" s="6">
        <f t="shared" si="1"/>
        <v>4</v>
      </c>
    </row>
    <row r="331">
      <c r="A331" s="2">
        <v>44785.0</v>
      </c>
      <c r="B331" s="1">
        <v>20.34</v>
      </c>
      <c r="C331" s="1">
        <v>20.35</v>
      </c>
      <c r="D331" s="1">
        <v>19.12</v>
      </c>
      <c r="E331" s="1">
        <v>19.53</v>
      </c>
      <c r="F331" s="6">
        <f t="shared" si="1"/>
        <v>0</v>
      </c>
    </row>
    <row r="332" hidden="1">
      <c r="A332" s="2">
        <v>44788.0</v>
      </c>
      <c r="B332" s="1">
        <v>20.74</v>
      </c>
      <c r="C332" s="1">
        <v>21.16</v>
      </c>
      <c r="D332" s="1">
        <v>19.81</v>
      </c>
      <c r="E332" s="1">
        <v>19.95</v>
      </c>
      <c r="F332" s="6">
        <f t="shared" si="1"/>
        <v>1</v>
      </c>
    </row>
    <row r="333" hidden="1">
      <c r="A333" s="2">
        <v>44789.0</v>
      </c>
      <c r="B333" s="1">
        <v>20.23</v>
      </c>
      <c r="C333" s="1">
        <v>20.39</v>
      </c>
      <c r="D333" s="1">
        <v>19.5</v>
      </c>
      <c r="E333" s="1">
        <v>19.69</v>
      </c>
      <c r="F333" s="6">
        <f t="shared" si="1"/>
        <v>2</v>
      </c>
    </row>
    <row r="334" hidden="1">
      <c r="A334" s="2">
        <v>44790.0</v>
      </c>
      <c r="B334" s="1">
        <v>19.74</v>
      </c>
      <c r="C334" s="1">
        <v>20.63</v>
      </c>
      <c r="D334" s="1">
        <v>19.41</v>
      </c>
      <c r="E334" s="1">
        <v>19.9</v>
      </c>
      <c r="F334" s="6">
        <f t="shared" si="1"/>
        <v>3</v>
      </c>
    </row>
    <row r="335" hidden="1">
      <c r="A335" s="2">
        <v>44791.0</v>
      </c>
      <c r="B335" s="1">
        <v>20.51</v>
      </c>
      <c r="C335" s="1">
        <v>20.61</v>
      </c>
      <c r="D335" s="1">
        <v>19.43</v>
      </c>
      <c r="E335" s="1">
        <v>19.56</v>
      </c>
      <c r="F335" s="6">
        <f t="shared" si="1"/>
        <v>4</v>
      </c>
    </row>
    <row r="336">
      <c r="A336" s="2">
        <v>44792.0</v>
      </c>
      <c r="B336" s="1">
        <v>20.16</v>
      </c>
      <c r="C336" s="1">
        <v>21.27</v>
      </c>
      <c r="D336" s="1">
        <v>20.08</v>
      </c>
      <c r="E336" s="1">
        <v>20.6</v>
      </c>
      <c r="F336" s="6">
        <f t="shared" si="1"/>
        <v>0</v>
      </c>
    </row>
    <row r="337" hidden="1">
      <c r="A337" s="2">
        <v>44795.0</v>
      </c>
      <c r="B337" s="1">
        <v>22.41</v>
      </c>
      <c r="C337" s="1">
        <v>24.62</v>
      </c>
      <c r="D337" s="1">
        <v>22.39</v>
      </c>
      <c r="E337" s="1">
        <v>23.8</v>
      </c>
      <c r="F337" s="6">
        <f t="shared" si="1"/>
        <v>1</v>
      </c>
    </row>
    <row r="338" hidden="1">
      <c r="A338" s="2">
        <v>44796.0</v>
      </c>
      <c r="B338" s="1">
        <v>24.13</v>
      </c>
      <c r="C338" s="1">
        <v>24.21</v>
      </c>
      <c r="D338" s="1">
        <v>23.07</v>
      </c>
      <c r="E338" s="1">
        <v>24.11</v>
      </c>
      <c r="F338" s="6">
        <f t="shared" si="1"/>
        <v>2</v>
      </c>
    </row>
    <row r="339" hidden="1">
      <c r="A339" s="2">
        <v>44797.0</v>
      </c>
      <c r="B339" s="1">
        <v>24.37</v>
      </c>
      <c r="C339" s="1">
        <v>24.86</v>
      </c>
      <c r="D339" s="1">
        <v>22.73</v>
      </c>
      <c r="E339" s="1">
        <v>22.82</v>
      </c>
      <c r="F339" s="6">
        <f t="shared" si="1"/>
        <v>3</v>
      </c>
    </row>
    <row r="340" hidden="1">
      <c r="A340" s="2">
        <v>44798.0</v>
      </c>
      <c r="B340" s="1">
        <v>22.41</v>
      </c>
      <c r="C340" s="1">
        <v>23.13</v>
      </c>
      <c r="D340" s="1">
        <v>21.77</v>
      </c>
      <c r="E340" s="1">
        <v>21.78</v>
      </c>
      <c r="F340" s="6">
        <f t="shared" si="1"/>
        <v>4</v>
      </c>
    </row>
    <row r="341">
      <c r="A341" s="2">
        <v>44799.0</v>
      </c>
      <c r="B341" s="1">
        <v>22.07</v>
      </c>
      <c r="C341" s="1">
        <v>25.9</v>
      </c>
      <c r="D341" s="1">
        <v>21.67</v>
      </c>
      <c r="E341" s="1">
        <v>25.56</v>
      </c>
      <c r="F341" s="6">
        <f t="shared" si="1"/>
        <v>0</v>
      </c>
    </row>
    <row r="342" hidden="1">
      <c r="A342" s="2">
        <v>44802.0</v>
      </c>
      <c r="B342" s="1">
        <v>26.86</v>
      </c>
      <c r="C342" s="1">
        <v>27.67</v>
      </c>
      <c r="D342" s="1">
        <v>25.47</v>
      </c>
      <c r="E342" s="1">
        <v>26.21</v>
      </c>
      <c r="F342" s="6">
        <f t="shared" si="1"/>
        <v>1</v>
      </c>
    </row>
    <row r="343" hidden="1">
      <c r="A343" s="2">
        <v>44803.0</v>
      </c>
      <c r="B343" s="1">
        <v>25.75</v>
      </c>
      <c r="C343" s="1">
        <v>27.69</v>
      </c>
      <c r="D343" s="1">
        <v>25.13</v>
      </c>
      <c r="E343" s="1">
        <v>26.21</v>
      </c>
      <c r="F343" s="6">
        <f t="shared" si="1"/>
        <v>2</v>
      </c>
    </row>
    <row r="344" hidden="1">
      <c r="A344" s="2">
        <v>44804.0</v>
      </c>
      <c r="B344" s="1">
        <v>25.86</v>
      </c>
      <c r="C344" s="1">
        <v>26.62</v>
      </c>
      <c r="D344" s="1">
        <v>25.31</v>
      </c>
      <c r="E344" s="1">
        <v>25.87</v>
      </c>
      <c r="F344" s="6">
        <f t="shared" si="1"/>
        <v>3</v>
      </c>
    </row>
    <row r="345" hidden="1">
      <c r="A345" s="2">
        <v>44805.0</v>
      </c>
      <c r="B345" s="1">
        <v>26.88</v>
      </c>
      <c r="C345" s="1">
        <v>27.45</v>
      </c>
      <c r="D345" s="1">
        <v>25.25</v>
      </c>
      <c r="E345" s="1">
        <v>25.56</v>
      </c>
      <c r="F345" s="6">
        <f t="shared" si="1"/>
        <v>4</v>
      </c>
    </row>
    <row r="346">
      <c r="A346" s="2">
        <v>44806.0</v>
      </c>
      <c r="B346" s="1">
        <v>25.51</v>
      </c>
      <c r="C346" s="1">
        <v>26.28</v>
      </c>
      <c r="D346" s="1">
        <v>23.19</v>
      </c>
      <c r="E346" s="1">
        <v>25.47</v>
      </c>
      <c r="F346" s="6">
        <f t="shared" si="1"/>
        <v>0</v>
      </c>
    </row>
    <row r="347" hidden="1">
      <c r="A347" s="2">
        <v>44809.0</v>
      </c>
      <c r="B347" s="1">
        <v>26.51</v>
      </c>
      <c r="C347" s="1">
        <v>26.85</v>
      </c>
      <c r="D347" s="1">
        <v>25.84</v>
      </c>
      <c r="E347" s="1">
        <v>25.99</v>
      </c>
      <c r="F347" s="6">
        <f t="shared" si="1"/>
        <v>1</v>
      </c>
    </row>
    <row r="348" hidden="1">
      <c r="A348" s="2">
        <v>44810.0</v>
      </c>
      <c r="B348" s="1">
        <v>25.46</v>
      </c>
      <c r="C348" s="1">
        <v>27.8</v>
      </c>
      <c r="D348" s="1">
        <v>25.33</v>
      </c>
      <c r="E348" s="1">
        <v>26.91</v>
      </c>
      <c r="F348" s="6">
        <f t="shared" si="1"/>
        <v>2</v>
      </c>
    </row>
    <row r="349" hidden="1">
      <c r="A349" s="2">
        <v>44811.0</v>
      </c>
      <c r="B349" s="1">
        <v>26.93</v>
      </c>
      <c r="C349" s="1">
        <v>27.15</v>
      </c>
      <c r="D349" s="1">
        <v>24.54</v>
      </c>
      <c r="E349" s="1">
        <v>24.64</v>
      </c>
      <c r="F349" s="6">
        <f t="shared" si="1"/>
        <v>3</v>
      </c>
    </row>
    <row r="350" hidden="1">
      <c r="A350" s="2">
        <v>44812.0</v>
      </c>
      <c r="B350" s="1">
        <v>24.7</v>
      </c>
      <c r="C350" s="1">
        <v>25.9</v>
      </c>
      <c r="D350" s="1">
        <v>23.56</v>
      </c>
      <c r="E350" s="1">
        <v>23.61</v>
      </c>
      <c r="F350" s="6">
        <f t="shared" si="1"/>
        <v>4</v>
      </c>
    </row>
    <row r="351">
      <c r="A351" s="2">
        <v>44813.0</v>
      </c>
      <c r="B351" s="1">
        <v>23.49</v>
      </c>
      <c r="C351" s="1">
        <v>23.57</v>
      </c>
      <c r="D351" s="1">
        <v>22.64</v>
      </c>
      <c r="E351" s="1">
        <v>22.79</v>
      </c>
      <c r="F351" s="6">
        <f t="shared" si="1"/>
        <v>0</v>
      </c>
    </row>
    <row r="352" hidden="1">
      <c r="A352" s="2">
        <v>44816.0</v>
      </c>
      <c r="B352" s="1">
        <v>23.58</v>
      </c>
      <c r="C352" s="1">
        <v>24.23</v>
      </c>
      <c r="D352" s="1">
        <v>23.16</v>
      </c>
      <c r="E352" s="1">
        <v>23.87</v>
      </c>
      <c r="F352" s="6">
        <f t="shared" si="1"/>
        <v>1</v>
      </c>
    </row>
    <row r="353" hidden="1">
      <c r="A353" s="2">
        <v>44817.0</v>
      </c>
      <c r="B353" s="1">
        <v>23.67</v>
      </c>
      <c r="C353" s="1">
        <v>28.15</v>
      </c>
      <c r="D353" s="1">
        <v>23.53</v>
      </c>
      <c r="E353" s="1">
        <v>27.27</v>
      </c>
      <c r="F353" s="6">
        <f t="shared" si="1"/>
        <v>2</v>
      </c>
    </row>
    <row r="354" hidden="1">
      <c r="A354" s="2">
        <v>44818.0</v>
      </c>
      <c r="B354" s="1">
        <v>26.73</v>
      </c>
      <c r="C354" s="1">
        <v>27.56</v>
      </c>
      <c r="D354" s="1">
        <v>26.16</v>
      </c>
      <c r="E354" s="1">
        <v>26.16</v>
      </c>
      <c r="F354" s="6">
        <f t="shared" si="1"/>
        <v>3</v>
      </c>
    </row>
    <row r="355" hidden="1">
      <c r="A355" s="2">
        <v>44819.0</v>
      </c>
      <c r="B355" s="1">
        <v>26.1</v>
      </c>
      <c r="C355" s="1">
        <v>26.93</v>
      </c>
      <c r="D355" s="1">
        <v>25.42</v>
      </c>
      <c r="E355" s="1">
        <v>26.27</v>
      </c>
      <c r="F355" s="6">
        <f t="shared" si="1"/>
        <v>4</v>
      </c>
    </row>
    <row r="356">
      <c r="A356" s="2">
        <v>44820.0</v>
      </c>
      <c r="B356" s="1">
        <v>27.47</v>
      </c>
      <c r="C356" s="1">
        <v>28.45</v>
      </c>
      <c r="D356" s="1">
        <v>26.14</v>
      </c>
      <c r="E356" s="1">
        <v>26.3</v>
      </c>
      <c r="F356" s="6">
        <f t="shared" si="1"/>
        <v>0</v>
      </c>
    </row>
    <row r="357" hidden="1">
      <c r="A357" s="2">
        <v>44823.0</v>
      </c>
      <c r="B357" s="1">
        <v>27.69</v>
      </c>
      <c r="C357" s="1">
        <v>27.95</v>
      </c>
      <c r="D357" s="1">
        <v>25.56</v>
      </c>
      <c r="E357" s="1">
        <v>25.76</v>
      </c>
      <c r="F357" s="6">
        <f t="shared" si="1"/>
        <v>1</v>
      </c>
    </row>
    <row r="358" hidden="1">
      <c r="A358" s="2">
        <v>44824.0</v>
      </c>
      <c r="B358" s="1">
        <v>25.65</v>
      </c>
      <c r="C358" s="1">
        <v>27.81</v>
      </c>
      <c r="D358" s="1">
        <v>25.61</v>
      </c>
      <c r="E358" s="1">
        <v>27.16</v>
      </c>
      <c r="F358" s="6">
        <f t="shared" si="1"/>
        <v>2</v>
      </c>
    </row>
    <row r="359" hidden="1">
      <c r="A359" s="2">
        <v>44825.0</v>
      </c>
      <c r="B359" s="1">
        <v>28.03</v>
      </c>
      <c r="C359" s="1">
        <v>30.18</v>
      </c>
      <c r="D359" s="1">
        <v>25.55</v>
      </c>
      <c r="E359" s="1">
        <v>27.99</v>
      </c>
      <c r="F359" s="6">
        <f t="shared" si="1"/>
        <v>3</v>
      </c>
    </row>
    <row r="360" hidden="1">
      <c r="A360" s="2">
        <v>44826.0</v>
      </c>
      <c r="B360" s="1">
        <v>28.16</v>
      </c>
      <c r="C360" s="1">
        <v>28.38</v>
      </c>
      <c r="D360" s="1">
        <v>26.71</v>
      </c>
      <c r="E360" s="1">
        <v>27.35</v>
      </c>
      <c r="F360" s="6">
        <f t="shared" si="1"/>
        <v>4</v>
      </c>
    </row>
    <row r="361">
      <c r="A361" s="2">
        <v>44827.0</v>
      </c>
      <c r="B361" s="1">
        <v>27.68</v>
      </c>
      <c r="C361" s="1">
        <v>32.31</v>
      </c>
      <c r="D361" s="1">
        <v>27.58</v>
      </c>
      <c r="E361" s="1">
        <v>29.92</v>
      </c>
      <c r="F361" s="6">
        <f t="shared" si="1"/>
        <v>0</v>
      </c>
    </row>
    <row r="362" hidden="1">
      <c r="A362" s="2">
        <v>44830.0</v>
      </c>
      <c r="B362" s="1">
        <v>31.74</v>
      </c>
      <c r="C362" s="1">
        <v>32.88</v>
      </c>
      <c r="D362" s="1">
        <v>29.83</v>
      </c>
      <c r="E362" s="1">
        <v>32.26</v>
      </c>
      <c r="F362" s="6">
        <f t="shared" si="1"/>
        <v>1</v>
      </c>
    </row>
    <row r="363" hidden="1">
      <c r="A363" s="2">
        <v>44831.0</v>
      </c>
      <c r="B363" s="1">
        <v>31.2</v>
      </c>
      <c r="C363" s="1">
        <v>34.14</v>
      </c>
      <c r="D363" s="1">
        <v>30.3</v>
      </c>
      <c r="E363" s="1">
        <v>32.6</v>
      </c>
      <c r="F363" s="6">
        <f t="shared" si="1"/>
        <v>2</v>
      </c>
    </row>
    <row r="364" hidden="1">
      <c r="A364" s="2">
        <v>44832.0</v>
      </c>
      <c r="B364" s="1">
        <v>34.5</v>
      </c>
      <c r="C364" s="1">
        <v>34.88</v>
      </c>
      <c r="D364" s="1">
        <v>30.03</v>
      </c>
      <c r="E364" s="1">
        <v>30.18</v>
      </c>
      <c r="F364" s="6">
        <f t="shared" si="1"/>
        <v>3</v>
      </c>
    </row>
    <row r="365" hidden="1">
      <c r="A365" s="2">
        <v>44833.0</v>
      </c>
      <c r="B365" s="1">
        <v>31.67</v>
      </c>
      <c r="C365" s="1">
        <v>33.46</v>
      </c>
      <c r="D365" s="1">
        <v>31.16</v>
      </c>
      <c r="E365" s="1">
        <v>31.84</v>
      </c>
      <c r="F365" s="6">
        <f t="shared" si="1"/>
        <v>4</v>
      </c>
    </row>
    <row r="366">
      <c r="A366" s="2">
        <v>44834.0</v>
      </c>
      <c r="B366" s="1">
        <v>31.61</v>
      </c>
      <c r="C366" s="1">
        <v>33.25</v>
      </c>
      <c r="D366" s="1">
        <v>29.39</v>
      </c>
      <c r="E366" s="1">
        <v>31.62</v>
      </c>
      <c r="F366" s="6">
        <f t="shared" si="1"/>
        <v>0</v>
      </c>
    </row>
    <row r="367" hidden="1">
      <c r="A367" s="2">
        <v>44837.0</v>
      </c>
      <c r="B367" s="1">
        <v>33.0</v>
      </c>
      <c r="C367" s="1">
        <v>33.06</v>
      </c>
      <c r="D367" s="1">
        <v>29.63</v>
      </c>
      <c r="E367" s="1">
        <v>30.1</v>
      </c>
      <c r="F367" s="6">
        <f t="shared" si="1"/>
        <v>1</v>
      </c>
    </row>
    <row r="368" hidden="1">
      <c r="A368" s="2">
        <v>44838.0</v>
      </c>
      <c r="B368" s="1">
        <v>29.52</v>
      </c>
      <c r="C368" s="1">
        <v>29.62</v>
      </c>
      <c r="D368" s="1">
        <v>28.56</v>
      </c>
      <c r="E368" s="1">
        <v>29.07</v>
      </c>
      <c r="F368" s="6">
        <f t="shared" si="1"/>
        <v>2</v>
      </c>
    </row>
    <row r="369" hidden="1">
      <c r="A369" s="2">
        <v>44839.0</v>
      </c>
      <c r="B369" s="1">
        <v>29.36</v>
      </c>
      <c r="C369" s="1">
        <v>30.11</v>
      </c>
      <c r="D369" s="1">
        <v>28.5</v>
      </c>
      <c r="E369" s="1">
        <v>28.55</v>
      </c>
      <c r="F369" s="6">
        <f t="shared" si="1"/>
        <v>3</v>
      </c>
    </row>
    <row r="370" hidden="1">
      <c r="A370" s="2">
        <v>44840.0</v>
      </c>
      <c r="B370" s="1">
        <v>28.6</v>
      </c>
      <c r="C370" s="1">
        <v>30.74</v>
      </c>
      <c r="D370" s="1">
        <v>28.56</v>
      </c>
      <c r="E370" s="1">
        <v>30.52</v>
      </c>
      <c r="F370" s="6">
        <f t="shared" si="1"/>
        <v>4</v>
      </c>
    </row>
    <row r="371">
      <c r="A371" s="2">
        <v>44841.0</v>
      </c>
      <c r="B371" s="1">
        <v>30.37</v>
      </c>
      <c r="C371" s="1">
        <v>32.02</v>
      </c>
      <c r="D371" s="1">
        <v>29.88</v>
      </c>
      <c r="E371" s="1">
        <v>31.36</v>
      </c>
      <c r="F371" s="6">
        <f t="shared" si="1"/>
        <v>0</v>
      </c>
    </row>
    <row r="372" hidden="1">
      <c r="A372" s="5">
        <v>44844.0</v>
      </c>
      <c r="B372" s="1">
        <v>32.93</v>
      </c>
      <c r="C372" s="1">
        <v>33.99</v>
      </c>
      <c r="D372" s="1">
        <v>32.05</v>
      </c>
      <c r="E372" s="1">
        <v>32.45</v>
      </c>
      <c r="F372" s="6">
        <f t="shared" si="1"/>
        <v>1</v>
      </c>
    </row>
    <row r="373" hidden="1">
      <c r="A373" s="5">
        <v>44845.0</v>
      </c>
      <c r="B373" s="1">
        <v>33.56</v>
      </c>
      <c r="C373" s="1">
        <v>34.43</v>
      </c>
      <c r="D373" s="1">
        <v>32.45</v>
      </c>
      <c r="E373" s="1">
        <v>33.63</v>
      </c>
      <c r="F373" s="6">
        <f t="shared" si="1"/>
        <v>2</v>
      </c>
    </row>
    <row r="374" hidden="1">
      <c r="A374" s="5">
        <v>44846.0</v>
      </c>
      <c r="B374" s="1">
        <v>33.54</v>
      </c>
      <c r="C374" s="1">
        <v>34.53</v>
      </c>
      <c r="D374" s="1">
        <v>33.11</v>
      </c>
      <c r="E374" s="1">
        <v>33.57</v>
      </c>
      <c r="F374" s="6">
        <f t="shared" si="1"/>
        <v>3</v>
      </c>
    </row>
    <row r="375" hidden="1">
      <c r="A375" s="5">
        <v>44847.0</v>
      </c>
      <c r="B375" s="1">
        <v>33.6</v>
      </c>
      <c r="C375" s="1">
        <v>33.87</v>
      </c>
      <c r="D375" s="1">
        <v>31.63</v>
      </c>
      <c r="E375" s="1">
        <v>31.94</v>
      </c>
      <c r="F375" s="6">
        <f t="shared" si="1"/>
        <v>4</v>
      </c>
    </row>
    <row r="376">
      <c r="A376" s="5">
        <v>44848.0</v>
      </c>
      <c r="B376" s="1">
        <v>31.89</v>
      </c>
      <c r="C376" s="1">
        <v>32.98</v>
      </c>
      <c r="D376" s="1">
        <v>31.14</v>
      </c>
      <c r="E376" s="1">
        <v>32.02</v>
      </c>
      <c r="F376" s="6">
        <f t="shared" si="1"/>
        <v>0</v>
      </c>
    </row>
    <row r="377" hidden="1">
      <c r="A377" s="5">
        <v>44851.0</v>
      </c>
      <c r="B377" s="1">
        <v>32.27</v>
      </c>
      <c r="C377" s="1">
        <v>32.59</v>
      </c>
      <c r="D377" s="1">
        <v>30.7</v>
      </c>
      <c r="E377" s="1">
        <v>31.37</v>
      </c>
      <c r="F377" s="6">
        <f t="shared" si="1"/>
        <v>1</v>
      </c>
    </row>
    <row r="378" hidden="1">
      <c r="A378" s="5">
        <v>44852.0</v>
      </c>
      <c r="B378" s="1">
        <v>31.1</v>
      </c>
      <c r="C378" s="1">
        <v>31.93</v>
      </c>
      <c r="D378" s="1">
        <v>30.42</v>
      </c>
      <c r="E378" s="1">
        <v>30.5</v>
      </c>
      <c r="F378" s="6">
        <f t="shared" si="1"/>
        <v>2</v>
      </c>
    </row>
    <row r="379" hidden="1">
      <c r="A379" s="5">
        <v>44853.0</v>
      </c>
      <c r="B379" s="1">
        <v>30.94</v>
      </c>
      <c r="C379" s="1">
        <v>31.9</v>
      </c>
      <c r="D379" s="1">
        <v>30.76</v>
      </c>
      <c r="E379" s="1">
        <v>30.76</v>
      </c>
      <c r="F379" s="6">
        <f t="shared" si="1"/>
        <v>3</v>
      </c>
    </row>
    <row r="380" hidden="1">
      <c r="A380" s="5">
        <v>44854.0</v>
      </c>
      <c r="B380" s="1">
        <v>31.3</v>
      </c>
      <c r="C380" s="1">
        <v>31.32</v>
      </c>
      <c r="D380" s="1">
        <v>29.76</v>
      </c>
      <c r="E380" s="1">
        <v>29.98</v>
      </c>
      <c r="F380" s="6">
        <f t="shared" si="1"/>
        <v>4</v>
      </c>
    </row>
    <row r="381">
      <c r="A381" s="5">
        <v>44855.0</v>
      </c>
      <c r="B381" s="1">
        <v>30.21</v>
      </c>
      <c r="C381" s="1">
        <v>30.44</v>
      </c>
      <c r="D381" s="1">
        <v>29.24</v>
      </c>
      <c r="E381" s="1">
        <v>29.69</v>
      </c>
      <c r="F381" s="6">
        <f t="shared" si="1"/>
        <v>0</v>
      </c>
    </row>
    <row r="382" hidden="1">
      <c r="A382" s="5">
        <v>44858.0</v>
      </c>
      <c r="B382" s="1">
        <v>30.65</v>
      </c>
      <c r="C382" s="1">
        <v>30.95</v>
      </c>
      <c r="D382" s="1">
        <v>29.78</v>
      </c>
      <c r="E382" s="1">
        <v>29.85</v>
      </c>
      <c r="F382" s="6">
        <f t="shared" si="1"/>
        <v>1</v>
      </c>
    </row>
    <row r="383" hidden="1">
      <c r="A383" s="5">
        <v>44859.0</v>
      </c>
      <c r="B383" s="1">
        <v>29.8</v>
      </c>
      <c r="C383" s="1">
        <v>30.0</v>
      </c>
      <c r="D383" s="1">
        <v>28.22</v>
      </c>
      <c r="E383" s="1">
        <v>28.46</v>
      </c>
      <c r="F383" s="6">
        <f t="shared" si="1"/>
        <v>2</v>
      </c>
    </row>
    <row r="384" hidden="1">
      <c r="A384" s="5">
        <v>44860.0</v>
      </c>
      <c r="B384" s="1">
        <v>28.44</v>
      </c>
      <c r="C384" s="1">
        <v>28.52</v>
      </c>
      <c r="D384" s="1">
        <v>27.27</v>
      </c>
      <c r="E384" s="1">
        <v>27.28</v>
      </c>
      <c r="F384" s="6">
        <f t="shared" si="1"/>
        <v>3</v>
      </c>
    </row>
    <row r="385" hidden="1">
      <c r="A385" s="5">
        <v>44861.0</v>
      </c>
      <c r="B385" s="1">
        <v>27.51</v>
      </c>
      <c r="C385" s="1">
        <v>27.67</v>
      </c>
      <c r="D385" s="1">
        <v>26.94</v>
      </c>
      <c r="E385" s="1">
        <v>27.39</v>
      </c>
      <c r="F385" s="6">
        <f t="shared" si="1"/>
        <v>4</v>
      </c>
    </row>
    <row r="386">
      <c r="A386" s="5">
        <v>44862.0</v>
      </c>
      <c r="B386" s="1">
        <v>27.43</v>
      </c>
      <c r="C386" s="1">
        <v>27.59</v>
      </c>
      <c r="D386" s="1">
        <v>25.75</v>
      </c>
      <c r="E386" s="1">
        <v>25.75</v>
      </c>
      <c r="F386" s="6">
        <f t="shared" si="1"/>
        <v>0</v>
      </c>
    </row>
    <row r="387" hidden="1">
      <c r="A387" s="5">
        <v>44865.0</v>
      </c>
      <c r="B387" s="1">
        <v>26.91</v>
      </c>
      <c r="C387" s="1">
        <v>27.07</v>
      </c>
      <c r="D387" s="1">
        <v>25.84</v>
      </c>
      <c r="E387" s="1">
        <v>25.88</v>
      </c>
      <c r="F387" s="6">
        <f t="shared" si="1"/>
        <v>1</v>
      </c>
    </row>
    <row r="388" hidden="1">
      <c r="A388" s="2">
        <v>44866.0</v>
      </c>
      <c r="B388" s="1">
        <v>25.96</v>
      </c>
      <c r="C388" s="1">
        <v>26.35</v>
      </c>
      <c r="D388" s="1">
        <v>25.66</v>
      </c>
      <c r="E388" s="1">
        <v>25.81</v>
      </c>
      <c r="F388" s="6">
        <f t="shared" si="1"/>
        <v>2</v>
      </c>
    </row>
    <row r="389" hidden="1">
      <c r="A389" s="2">
        <v>44867.0</v>
      </c>
      <c r="B389" s="1">
        <v>26.04</v>
      </c>
      <c r="C389" s="1">
        <v>26.62</v>
      </c>
      <c r="D389" s="1">
        <v>25.39</v>
      </c>
      <c r="E389" s="1">
        <v>25.86</v>
      </c>
      <c r="F389" s="6">
        <f t="shared" si="1"/>
        <v>3</v>
      </c>
    </row>
    <row r="390" hidden="1">
      <c r="A390" s="2">
        <v>44868.0</v>
      </c>
      <c r="B390" s="1">
        <v>25.98</v>
      </c>
      <c r="C390" s="1">
        <v>26.87</v>
      </c>
      <c r="D390" s="1">
        <v>25.1</v>
      </c>
      <c r="E390" s="1">
        <v>25.3</v>
      </c>
      <c r="F390" s="6">
        <f t="shared" si="1"/>
        <v>4</v>
      </c>
    </row>
    <row r="391">
      <c r="A391" s="2">
        <v>44869.0</v>
      </c>
      <c r="B391" s="1">
        <v>25.63</v>
      </c>
      <c r="C391" s="1">
        <v>25.71</v>
      </c>
      <c r="D391" s="1">
        <v>24.0</v>
      </c>
      <c r="E391" s="1">
        <v>24.55</v>
      </c>
      <c r="F391" s="6">
        <f t="shared" si="1"/>
        <v>0</v>
      </c>
    </row>
    <row r="392" hidden="1">
      <c r="A392" s="2">
        <v>44872.0</v>
      </c>
      <c r="B392" s="1">
        <v>25.67</v>
      </c>
      <c r="C392" s="1">
        <v>25.67</v>
      </c>
      <c r="D392" s="1">
        <v>24.34</v>
      </c>
      <c r="E392" s="1">
        <v>24.35</v>
      </c>
      <c r="F392" s="6">
        <f t="shared" si="1"/>
        <v>1</v>
      </c>
    </row>
    <row r="393" hidden="1">
      <c r="A393" s="2">
        <v>44873.0</v>
      </c>
      <c r="B393" s="1">
        <v>24.71</v>
      </c>
      <c r="C393" s="1">
        <v>26.16</v>
      </c>
      <c r="D393" s="1">
        <v>24.24</v>
      </c>
      <c r="E393" s="1">
        <v>25.54</v>
      </c>
      <c r="F393" s="6">
        <f t="shared" si="1"/>
        <v>2</v>
      </c>
    </row>
    <row r="394" hidden="1">
      <c r="A394" s="2">
        <v>44874.0</v>
      </c>
      <c r="B394" s="1">
        <v>25.34</v>
      </c>
      <c r="C394" s="1">
        <v>26.35</v>
      </c>
      <c r="D394" s="1">
        <v>25.02</v>
      </c>
      <c r="E394" s="1">
        <v>26.09</v>
      </c>
      <c r="F394" s="6">
        <f t="shared" si="1"/>
        <v>3</v>
      </c>
    </row>
    <row r="395" hidden="1">
      <c r="A395" s="5">
        <v>44875.0</v>
      </c>
      <c r="B395" s="1">
        <v>26.51</v>
      </c>
      <c r="C395" s="1">
        <v>26.59</v>
      </c>
      <c r="D395" s="1">
        <v>22.84</v>
      </c>
      <c r="E395" s="1">
        <v>23.53</v>
      </c>
      <c r="F395" s="6">
        <f t="shared" si="1"/>
        <v>4</v>
      </c>
    </row>
    <row r="396">
      <c r="A396" s="5">
        <v>44876.0</v>
      </c>
      <c r="B396" s="1">
        <v>23.89</v>
      </c>
      <c r="C396" s="1">
        <v>23.91</v>
      </c>
      <c r="D396" s="1">
        <v>22.37</v>
      </c>
      <c r="E396" s="1">
        <v>22.52</v>
      </c>
      <c r="F396" s="6">
        <f t="shared" si="1"/>
        <v>0</v>
      </c>
    </row>
    <row r="397" hidden="1">
      <c r="A397" s="5">
        <v>44879.0</v>
      </c>
      <c r="B397" s="1">
        <v>23.99</v>
      </c>
      <c r="C397" s="1">
        <v>24.33</v>
      </c>
      <c r="D397" s="1">
        <v>22.86</v>
      </c>
      <c r="E397" s="1">
        <v>23.73</v>
      </c>
      <c r="F397" s="6">
        <f t="shared" si="1"/>
        <v>1</v>
      </c>
    </row>
    <row r="398" hidden="1">
      <c r="A398" s="5">
        <v>44880.0</v>
      </c>
      <c r="B398" s="1">
        <v>23.77</v>
      </c>
      <c r="C398" s="1">
        <v>26.22</v>
      </c>
      <c r="D398" s="1">
        <v>23.18</v>
      </c>
      <c r="E398" s="1">
        <v>24.54</v>
      </c>
      <c r="F398" s="6">
        <f t="shared" si="1"/>
        <v>2</v>
      </c>
    </row>
    <row r="399" hidden="1">
      <c r="A399" s="5">
        <v>44881.0</v>
      </c>
      <c r="B399" s="1">
        <v>24.29</v>
      </c>
      <c r="C399" s="1">
        <v>24.72</v>
      </c>
      <c r="D399" s="1">
        <v>23.99</v>
      </c>
      <c r="E399" s="1">
        <v>24.11</v>
      </c>
      <c r="F399" s="6">
        <f t="shared" si="1"/>
        <v>3</v>
      </c>
    </row>
    <row r="400" hidden="1">
      <c r="A400" s="5">
        <v>44882.0</v>
      </c>
      <c r="B400" s="1">
        <v>24.05</v>
      </c>
      <c r="C400" s="1">
        <v>25.18</v>
      </c>
      <c r="D400" s="1">
        <v>23.81</v>
      </c>
      <c r="E400" s="1">
        <v>23.93</v>
      </c>
      <c r="F400" s="6">
        <f t="shared" si="1"/>
        <v>4</v>
      </c>
    </row>
    <row r="401">
      <c r="A401" s="5">
        <v>44883.0</v>
      </c>
      <c r="B401" s="1">
        <v>24.03</v>
      </c>
      <c r="C401" s="1">
        <v>24.12</v>
      </c>
      <c r="D401" s="1">
        <v>22.98</v>
      </c>
      <c r="E401" s="1">
        <v>23.12</v>
      </c>
      <c r="F401" s="6">
        <f t="shared" si="1"/>
        <v>0</v>
      </c>
    </row>
    <row r="402" hidden="1">
      <c r="A402" s="5">
        <v>44886.0</v>
      </c>
      <c r="B402" s="1">
        <v>24.05</v>
      </c>
      <c r="C402" s="1">
        <v>24.12</v>
      </c>
      <c r="D402" s="1">
        <v>22.3</v>
      </c>
      <c r="E402" s="1">
        <v>22.36</v>
      </c>
      <c r="F402" s="6">
        <f t="shared" si="1"/>
        <v>1</v>
      </c>
    </row>
    <row r="403" hidden="1">
      <c r="A403" s="5">
        <v>44887.0</v>
      </c>
      <c r="B403" s="1">
        <v>22.59</v>
      </c>
      <c r="C403" s="1">
        <v>22.71</v>
      </c>
      <c r="D403" s="1">
        <v>21.28</v>
      </c>
      <c r="E403" s="1">
        <v>21.29</v>
      </c>
      <c r="F403" s="6">
        <f t="shared" si="1"/>
        <v>2</v>
      </c>
    </row>
    <row r="404" hidden="1">
      <c r="A404" s="5">
        <v>44888.0</v>
      </c>
      <c r="B404" s="1">
        <v>21.49</v>
      </c>
      <c r="C404" s="1">
        <v>21.78</v>
      </c>
      <c r="D404" s="1">
        <v>20.32</v>
      </c>
      <c r="E404" s="1">
        <v>20.35</v>
      </c>
      <c r="F404" s="6">
        <f t="shared" si="1"/>
        <v>3</v>
      </c>
    </row>
    <row r="405" hidden="1">
      <c r="A405" s="5">
        <v>44889.0</v>
      </c>
      <c r="B405" s="1">
        <v>20.5</v>
      </c>
      <c r="C405" s="1">
        <v>20.54</v>
      </c>
      <c r="D405" s="1">
        <v>20.31</v>
      </c>
      <c r="E405" s="1">
        <v>20.42</v>
      </c>
      <c r="F405" s="6">
        <f t="shared" si="1"/>
        <v>4</v>
      </c>
    </row>
    <row r="406">
      <c r="A406" s="5">
        <v>44890.0</v>
      </c>
      <c r="B406" s="1">
        <v>20.61</v>
      </c>
      <c r="C406" s="1">
        <v>21.11</v>
      </c>
      <c r="D406" s="1">
        <v>20.46</v>
      </c>
      <c r="E406" s="1">
        <v>20.5</v>
      </c>
      <c r="F406" s="6">
        <f t="shared" si="1"/>
        <v>0</v>
      </c>
    </row>
    <row r="407" hidden="1">
      <c r="A407" s="5">
        <v>44893.0</v>
      </c>
      <c r="B407" s="1">
        <v>22.09</v>
      </c>
      <c r="C407" s="1">
        <v>22.5</v>
      </c>
      <c r="D407" s="1">
        <v>21.65</v>
      </c>
      <c r="E407" s="1">
        <v>22.21</v>
      </c>
      <c r="F407" s="6">
        <f t="shared" si="1"/>
        <v>1</v>
      </c>
    </row>
    <row r="408" hidden="1">
      <c r="A408" s="5">
        <v>44894.0</v>
      </c>
      <c r="B408" s="1">
        <v>22.09</v>
      </c>
      <c r="C408" s="1">
        <v>22.57</v>
      </c>
      <c r="D408" s="1">
        <v>21.83</v>
      </c>
      <c r="E408" s="1">
        <v>21.89</v>
      </c>
      <c r="F408" s="6">
        <f t="shared" si="1"/>
        <v>2</v>
      </c>
    </row>
    <row r="409" hidden="1">
      <c r="A409" s="5">
        <v>44895.0</v>
      </c>
      <c r="B409" s="1">
        <v>21.7</v>
      </c>
      <c r="C409" s="1">
        <v>22.63</v>
      </c>
      <c r="D409" s="1">
        <v>20.31</v>
      </c>
      <c r="E409" s="1">
        <v>20.58</v>
      </c>
      <c r="F409" s="6">
        <f t="shared" si="1"/>
        <v>3</v>
      </c>
    </row>
    <row r="410" hidden="1">
      <c r="A410" s="2">
        <v>44896.0</v>
      </c>
      <c r="B410" s="1">
        <v>20.83</v>
      </c>
      <c r="C410" s="1">
        <v>21.06</v>
      </c>
      <c r="D410" s="1">
        <v>19.8</v>
      </c>
      <c r="E410" s="1">
        <v>19.84</v>
      </c>
      <c r="F410" s="6">
        <f t="shared" si="1"/>
        <v>4</v>
      </c>
    </row>
    <row r="411">
      <c r="A411" s="2">
        <v>44897.0</v>
      </c>
      <c r="B411" s="1">
        <v>20.42</v>
      </c>
      <c r="C411" s="1">
        <v>20.96</v>
      </c>
      <c r="D411" s="1">
        <v>18.95</v>
      </c>
      <c r="E411" s="1">
        <v>19.06</v>
      </c>
      <c r="F411" s="6">
        <f t="shared" si="1"/>
        <v>0</v>
      </c>
    </row>
    <row r="412" hidden="1">
      <c r="A412" s="2">
        <v>44900.0</v>
      </c>
      <c r="B412" s="1">
        <v>20.3</v>
      </c>
      <c r="C412" s="1">
        <v>21.29</v>
      </c>
      <c r="D412" s="1">
        <v>19.78</v>
      </c>
      <c r="E412" s="1">
        <v>20.75</v>
      </c>
      <c r="F412" s="6">
        <f t="shared" si="1"/>
        <v>1</v>
      </c>
    </row>
    <row r="413" hidden="1">
      <c r="A413" s="2">
        <v>44901.0</v>
      </c>
      <c r="B413" s="1">
        <v>20.69</v>
      </c>
      <c r="C413" s="1">
        <v>22.6</v>
      </c>
      <c r="D413" s="1">
        <v>20.38</v>
      </c>
      <c r="E413" s="1">
        <v>22.17</v>
      </c>
      <c r="F413" s="6">
        <f t="shared" si="1"/>
        <v>2</v>
      </c>
    </row>
    <row r="414" hidden="1">
      <c r="A414" s="2">
        <v>44902.0</v>
      </c>
      <c r="B414" s="1">
        <v>22.32</v>
      </c>
      <c r="C414" s="1">
        <v>23.01</v>
      </c>
      <c r="D414" s="1">
        <v>22.18</v>
      </c>
      <c r="E414" s="1">
        <v>22.68</v>
      </c>
      <c r="F414" s="6">
        <f t="shared" si="1"/>
        <v>3</v>
      </c>
    </row>
    <row r="415" hidden="1">
      <c r="A415" s="2">
        <v>44903.0</v>
      </c>
      <c r="B415" s="1">
        <v>22.81</v>
      </c>
      <c r="C415" s="1">
        <v>23.28</v>
      </c>
      <c r="D415" s="1">
        <v>22.06</v>
      </c>
      <c r="E415" s="1">
        <v>22.29</v>
      </c>
      <c r="F415" s="6">
        <f t="shared" si="1"/>
        <v>4</v>
      </c>
    </row>
    <row r="416">
      <c r="A416" s="2">
        <v>44904.0</v>
      </c>
      <c r="B416" s="1">
        <v>22.55</v>
      </c>
      <c r="C416" s="1">
        <v>23.21</v>
      </c>
      <c r="D416" s="1">
        <v>22.18</v>
      </c>
      <c r="E416" s="1">
        <v>22.83</v>
      </c>
      <c r="F416" s="6">
        <f t="shared" si="1"/>
        <v>0</v>
      </c>
    </row>
    <row r="417" hidden="1">
      <c r="A417" s="5">
        <v>44907.0</v>
      </c>
      <c r="B417" s="1">
        <v>24.4</v>
      </c>
      <c r="C417" s="1">
        <v>25.05</v>
      </c>
      <c r="D417" s="1">
        <v>24.18</v>
      </c>
      <c r="E417" s="1">
        <v>25.0</v>
      </c>
      <c r="F417" s="6">
        <f t="shared" si="1"/>
        <v>1</v>
      </c>
    </row>
    <row r="418" hidden="1">
      <c r="A418" s="5">
        <v>44908.0</v>
      </c>
      <c r="B418" s="1">
        <v>25.24</v>
      </c>
      <c r="C418" s="1">
        <v>25.84</v>
      </c>
      <c r="D418" s="1">
        <v>21.46</v>
      </c>
      <c r="E418" s="1">
        <v>22.55</v>
      </c>
      <c r="F418" s="6">
        <f t="shared" si="1"/>
        <v>2</v>
      </c>
    </row>
    <row r="419" hidden="1">
      <c r="A419" s="5">
        <v>44909.0</v>
      </c>
      <c r="B419" s="1">
        <v>22.83</v>
      </c>
      <c r="C419" s="1">
        <v>23.47</v>
      </c>
      <c r="D419" s="1">
        <v>21.07</v>
      </c>
      <c r="E419" s="1">
        <v>21.14</v>
      </c>
      <c r="F419" s="6">
        <f t="shared" si="1"/>
        <v>3</v>
      </c>
    </row>
    <row r="420" hidden="1">
      <c r="A420" s="5">
        <v>44910.0</v>
      </c>
      <c r="B420" s="1">
        <v>21.52</v>
      </c>
      <c r="C420" s="1">
        <v>23.67</v>
      </c>
      <c r="D420" s="1">
        <v>21.25</v>
      </c>
      <c r="E420" s="1">
        <v>22.83</v>
      </c>
      <c r="F420" s="6">
        <f t="shared" si="1"/>
        <v>4</v>
      </c>
    </row>
    <row r="421">
      <c r="A421" s="5">
        <v>44911.0</v>
      </c>
      <c r="B421" s="1">
        <v>23.26</v>
      </c>
      <c r="C421" s="1">
        <v>23.83</v>
      </c>
      <c r="D421" s="1">
        <v>22.09</v>
      </c>
      <c r="E421" s="1">
        <v>22.62</v>
      </c>
      <c r="F421" s="6">
        <f t="shared" si="1"/>
        <v>0</v>
      </c>
    </row>
    <row r="422" hidden="1">
      <c r="A422" s="5">
        <v>44914.0</v>
      </c>
      <c r="B422" s="1">
        <v>22.63</v>
      </c>
      <c r="C422" s="1">
        <v>22.86</v>
      </c>
      <c r="D422" s="1">
        <v>21.61</v>
      </c>
      <c r="E422" s="1">
        <v>22.42</v>
      </c>
      <c r="F422" s="6">
        <f t="shared" si="1"/>
        <v>1</v>
      </c>
    </row>
    <row r="423" hidden="1">
      <c r="A423" s="5">
        <v>44915.0</v>
      </c>
      <c r="B423" s="1">
        <v>23.17</v>
      </c>
      <c r="C423" s="1">
        <v>23.39</v>
      </c>
      <c r="D423" s="1">
        <v>21.35</v>
      </c>
      <c r="E423" s="1">
        <v>21.48</v>
      </c>
      <c r="F423" s="6">
        <f t="shared" si="1"/>
        <v>2</v>
      </c>
    </row>
    <row r="424" hidden="1">
      <c r="A424" s="5">
        <v>44916.0</v>
      </c>
      <c r="B424" s="1">
        <v>21.25</v>
      </c>
      <c r="C424" s="1">
        <v>21.29</v>
      </c>
      <c r="D424" s="1">
        <v>19.94</v>
      </c>
      <c r="E424" s="1">
        <v>20.07</v>
      </c>
      <c r="F424" s="6">
        <f t="shared" si="1"/>
        <v>3</v>
      </c>
    </row>
    <row r="425" hidden="1">
      <c r="A425" s="5">
        <v>44917.0</v>
      </c>
      <c r="B425" s="1">
        <v>20.08</v>
      </c>
      <c r="C425" s="1">
        <v>24.3</v>
      </c>
      <c r="D425" s="1">
        <v>20.01</v>
      </c>
      <c r="E425" s="1">
        <v>21.97</v>
      </c>
      <c r="F425" s="6">
        <f t="shared" si="1"/>
        <v>4</v>
      </c>
    </row>
    <row r="426">
      <c r="A426" s="5">
        <v>44918.0</v>
      </c>
      <c r="B426" s="1">
        <v>22.17</v>
      </c>
      <c r="C426" s="1">
        <v>22.64</v>
      </c>
      <c r="D426" s="1">
        <v>20.78</v>
      </c>
      <c r="E426" s="1">
        <v>20.87</v>
      </c>
      <c r="F426" s="6">
        <f t="shared" si="1"/>
        <v>0</v>
      </c>
    </row>
    <row r="427" hidden="1">
      <c r="A427" s="5">
        <v>44922.0</v>
      </c>
      <c r="B427" s="1">
        <v>21.67</v>
      </c>
      <c r="C427" s="1">
        <v>22.8</v>
      </c>
      <c r="D427" s="1">
        <v>21.59</v>
      </c>
      <c r="E427" s="1">
        <v>21.65</v>
      </c>
      <c r="F427" s="6">
        <f t="shared" si="1"/>
        <v>1</v>
      </c>
    </row>
    <row r="428" hidden="1">
      <c r="A428" s="5">
        <v>44923.0</v>
      </c>
      <c r="B428" s="1">
        <v>21.47</v>
      </c>
      <c r="C428" s="1">
        <v>22.26</v>
      </c>
      <c r="D428" s="1">
        <v>20.96</v>
      </c>
      <c r="E428" s="1">
        <v>22.14</v>
      </c>
      <c r="F428" s="6">
        <f t="shared" si="1"/>
        <v>2</v>
      </c>
    </row>
    <row r="429" hidden="1">
      <c r="A429" s="5">
        <v>44924.0</v>
      </c>
      <c r="B429" s="1">
        <v>22.25</v>
      </c>
      <c r="C429" s="1">
        <v>22.31</v>
      </c>
      <c r="D429" s="1">
        <v>21.36</v>
      </c>
      <c r="E429" s="1">
        <v>21.44</v>
      </c>
      <c r="F429" s="6">
        <f t="shared" si="1"/>
        <v>3</v>
      </c>
    </row>
    <row r="430" hidden="1">
      <c r="A430" s="5">
        <v>44925.0</v>
      </c>
      <c r="B430" s="1">
        <v>21.83</v>
      </c>
      <c r="C430" s="1">
        <v>22.4</v>
      </c>
      <c r="D430" s="1">
        <v>21.59</v>
      </c>
      <c r="E430" s="1">
        <v>21.67</v>
      </c>
      <c r="F430" s="6">
        <f t="shared" si="1"/>
        <v>4</v>
      </c>
    </row>
    <row r="431">
      <c r="A431" s="2">
        <v>44929.0</v>
      </c>
      <c r="B431" s="1">
        <v>23.09</v>
      </c>
      <c r="C431" s="1">
        <v>23.76</v>
      </c>
      <c r="D431" s="1">
        <v>22.73</v>
      </c>
      <c r="E431" s="1">
        <v>22.9</v>
      </c>
      <c r="F431" s="6">
        <f t="shared" si="1"/>
        <v>0</v>
      </c>
    </row>
    <row r="432" hidden="1">
      <c r="A432" s="2">
        <v>44930.0</v>
      </c>
      <c r="B432" s="1">
        <v>22.93</v>
      </c>
      <c r="C432" s="1">
        <v>23.27</v>
      </c>
      <c r="D432" s="1">
        <v>21.94</v>
      </c>
      <c r="E432" s="1">
        <v>22.01</v>
      </c>
      <c r="F432" s="6">
        <f t="shared" si="1"/>
        <v>1</v>
      </c>
    </row>
    <row r="433" hidden="1">
      <c r="A433" s="2">
        <v>44931.0</v>
      </c>
      <c r="B433" s="1">
        <v>22.2</v>
      </c>
      <c r="C433" s="1">
        <v>22.92</v>
      </c>
      <c r="D433" s="1">
        <v>21.97</v>
      </c>
      <c r="E433" s="1">
        <v>22.46</v>
      </c>
      <c r="F433" s="6">
        <f t="shared" si="1"/>
        <v>2</v>
      </c>
    </row>
    <row r="434" hidden="1">
      <c r="A434" s="2">
        <v>44932.0</v>
      </c>
      <c r="B434" s="1">
        <v>22.69</v>
      </c>
      <c r="C434" s="1">
        <v>22.9</v>
      </c>
      <c r="D434" s="1">
        <v>21.0</v>
      </c>
      <c r="E434" s="1">
        <v>21.13</v>
      </c>
      <c r="F434" s="6">
        <f t="shared" si="1"/>
        <v>3</v>
      </c>
    </row>
    <row r="435" hidden="1">
      <c r="A435" s="2">
        <v>44935.0</v>
      </c>
      <c r="B435" s="1">
        <v>21.75</v>
      </c>
      <c r="C435" s="1">
        <v>21.98</v>
      </c>
      <c r="D435" s="1">
        <v>21.27</v>
      </c>
      <c r="E435" s="1">
        <v>21.97</v>
      </c>
      <c r="F435" s="6">
        <f t="shared" si="1"/>
        <v>4</v>
      </c>
    </row>
    <row r="436">
      <c r="A436" s="2">
        <v>44936.0</v>
      </c>
      <c r="B436" s="1">
        <v>22.22</v>
      </c>
      <c r="C436" s="1">
        <v>22.46</v>
      </c>
      <c r="D436" s="1">
        <v>20.58</v>
      </c>
      <c r="E436" s="1">
        <v>20.58</v>
      </c>
      <c r="F436" s="6">
        <f t="shared" si="1"/>
        <v>0</v>
      </c>
    </row>
    <row r="437" hidden="1">
      <c r="A437" s="2">
        <v>44937.0</v>
      </c>
      <c r="B437" s="1">
        <v>20.8</v>
      </c>
      <c r="C437" s="1">
        <v>21.25</v>
      </c>
      <c r="D437" s="1">
        <v>20.62</v>
      </c>
      <c r="E437" s="1">
        <v>21.09</v>
      </c>
      <c r="F437" s="6">
        <f t="shared" si="1"/>
        <v>1</v>
      </c>
    </row>
    <row r="438" hidden="1">
      <c r="A438" s="2">
        <v>44938.0</v>
      </c>
      <c r="B438" s="1">
        <v>21.56</v>
      </c>
      <c r="C438" s="1">
        <v>21.8</v>
      </c>
      <c r="D438" s="1">
        <v>18.83</v>
      </c>
      <c r="E438" s="1">
        <v>18.83</v>
      </c>
      <c r="F438" s="6">
        <f t="shared" si="1"/>
        <v>2</v>
      </c>
    </row>
    <row r="439" hidden="1">
      <c r="A439" s="2">
        <v>44939.0</v>
      </c>
      <c r="B439" s="1">
        <v>19.0</v>
      </c>
      <c r="C439" s="1">
        <v>19.41</v>
      </c>
      <c r="D439" s="1">
        <v>18.01</v>
      </c>
      <c r="E439" s="1">
        <v>18.35</v>
      </c>
      <c r="F439" s="6">
        <f t="shared" si="1"/>
        <v>3</v>
      </c>
    </row>
    <row r="440" hidden="1">
      <c r="A440" s="2">
        <v>44942.0</v>
      </c>
      <c r="B440" s="1">
        <v>19.44</v>
      </c>
      <c r="C440" s="1">
        <v>19.63</v>
      </c>
      <c r="D440" s="1">
        <v>19.41</v>
      </c>
      <c r="E440" s="1">
        <v>19.49</v>
      </c>
      <c r="F440" s="6">
        <f t="shared" si="1"/>
        <v>4</v>
      </c>
    </row>
    <row r="441">
      <c r="A441" s="2">
        <v>44943.0</v>
      </c>
      <c r="B441" s="1">
        <v>19.89</v>
      </c>
      <c r="C441" s="1">
        <v>20.22</v>
      </c>
      <c r="D441" s="1">
        <v>19.21</v>
      </c>
      <c r="E441" s="1">
        <v>19.36</v>
      </c>
      <c r="F441" s="6">
        <f t="shared" si="1"/>
        <v>0</v>
      </c>
    </row>
    <row r="442" hidden="1">
      <c r="A442" s="2">
        <v>44944.0</v>
      </c>
      <c r="B442" s="1">
        <v>19.28</v>
      </c>
      <c r="C442" s="1">
        <v>20.58</v>
      </c>
      <c r="D442" s="1">
        <v>18.71</v>
      </c>
      <c r="E442" s="1">
        <v>20.34</v>
      </c>
      <c r="F442" s="6">
        <f t="shared" si="1"/>
        <v>1</v>
      </c>
    </row>
    <row r="443" hidden="1">
      <c r="A443" s="2">
        <v>44945.0</v>
      </c>
      <c r="B443" s="1">
        <v>20.43</v>
      </c>
      <c r="C443" s="1">
        <v>21.71</v>
      </c>
      <c r="D443" s="1">
        <v>20.17</v>
      </c>
      <c r="E443" s="1">
        <v>20.52</v>
      </c>
      <c r="F443" s="6">
        <f t="shared" si="1"/>
        <v>2</v>
      </c>
    </row>
    <row r="444" hidden="1">
      <c r="A444" s="2">
        <v>44946.0</v>
      </c>
      <c r="B444" s="1">
        <v>20.28</v>
      </c>
      <c r="C444" s="1">
        <v>20.7</v>
      </c>
      <c r="D444" s="1">
        <v>19.41</v>
      </c>
      <c r="E444" s="1">
        <v>19.85</v>
      </c>
      <c r="F444" s="6">
        <f t="shared" si="1"/>
        <v>3</v>
      </c>
    </row>
    <row r="445" hidden="1">
      <c r="A445" s="2">
        <v>44949.0</v>
      </c>
      <c r="B445" s="1">
        <v>20.21</v>
      </c>
      <c r="C445" s="1">
        <v>20.33</v>
      </c>
      <c r="D445" s="1">
        <v>19.55</v>
      </c>
      <c r="E445" s="1">
        <v>19.81</v>
      </c>
      <c r="F445" s="6">
        <f t="shared" si="1"/>
        <v>4</v>
      </c>
    </row>
    <row r="446">
      <c r="A446" s="2">
        <v>44950.0</v>
      </c>
      <c r="B446" s="1">
        <v>19.89</v>
      </c>
      <c r="C446" s="1">
        <v>20.47</v>
      </c>
      <c r="D446" s="1">
        <v>18.91</v>
      </c>
      <c r="E446" s="1">
        <v>19.2</v>
      </c>
      <c r="F446" s="6">
        <f t="shared" si="1"/>
        <v>0</v>
      </c>
    </row>
    <row r="447" hidden="1">
      <c r="A447" s="2">
        <v>44951.0</v>
      </c>
      <c r="B447" s="1">
        <v>19.56</v>
      </c>
      <c r="C447" s="1">
        <v>20.9</v>
      </c>
      <c r="D447" s="1">
        <v>18.99</v>
      </c>
      <c r="E447" s="1">
        <v>19.08</v>
      </c>
      <c r="F447" s="6">
        <f t="shared" si="1"/>
        <v>1</v>
      </c>
    </row>
    <row r="448" hidden="1">
      <c r="A448" s="2">
        <v>44952.0</v>
      </c>
      <c r="B448" s="1">
        <v>19.05</v>
      </c>
      <c r="C448" s="1">
        <v>19.48</v>
      </c>
      <c r="D448" s="1">
        <v>18.67</v>
      </c>
      <c r="E448" s="1">
        <v>18.73</v>
      </c>
      <c r="F448" s="6">
        <f t="shared" si="1"/>
        <v>2</v>
      </c>
    </row>
    <row r="449" hidden="1">
      <c r="A449" s="2">
        <v>44953.0</v>
      </c>
      <c r="B449" s="1">
        <v>18.9</v>
      </c>
      <c r="C449" s="1">
        <v>19.0</v>
      </c>
      <c r="D449" s="1">
        <v>17.97</v>
      </c>
      <c r="E449" s="1">
        <v>18.51</v>
      </c>
      <c r="F449" s="6">
        <f t="shared" si="1"/>
        <v>3</v>
      </c>
    </row>
    <row r="450" hidden="1">
      <c r="A450" s="2">
        <v>44956.0</v>
      </c>
      <c r="B450" s="1">
        <v>19.76</v>
      </c>
      <c r="C450" s="1">
        <v>20.25</v>
      </c>
      <c r="D450" s="1">
        <v>19.54</v>
      </c>
      <c r="E450" s="1">
        <v>19.94</v>
      </c>
      <c r="F450" s="6">
        <f t="shared" si="1"/>
        <v>4</v>
      </c>
    </row>
    <row r="451">
      <c r="A451" s="2">
        <v>44957.0</v>
      </c>
      <c r="B451" s="1">
        <v>20.12</v>
      </c>
      <c r="C451" s="1">
        <v>20.7</v>
      </c>
      <c r="D451" s="1">
        <v>19.13</v>
      </c>
      <c r="E451" s="1">
        <v>19.4</v>
      </c>
      <c r="F451" s="6">
        <f t="shared" si="1"/>
        <v>0</v>
      </c>
    </row>
    <row r="452" hidden="1">
      <c r="A452" s="2">
        <v>44958.0</v>
      </c>
      <c r="B452" s="1">
        <v>19.62</v>
      </c>
      <c r="C452" s="1">
        <v>20.04</v>
      </c>
      <c r="D452" s="1">
        <v>17.7</v>
      </c>
      <c r="E452" s="1">
        <v>17.87</v>
      </c>
      <c r="F452" s="6">
        <f t="shared" si="1"/>
        <v>1</v>
      </c>
    </row>
    <row r="453" hidden="1">
      <c r="A453" s="2">
        <v>44959.0</v>
      </c>
      <c r="B453" s="1">
        <v>17.74</v>
      </c>
      <c r="C453" s="1">
        <v>19.25</v>
      </c>
      <c r="D453" s="1">
        <v>17.06</v>
      </c>
      <c r="E453" s="1">
        <v>18.73</v>
      </c>
      <c r="F453" s="6">
        <f t="shared" si="1"/>
        <v>2</v>
      </c>
    </row>
    <row r="454" hidden="1">
      <c r="A454" s="2">
        <v>44960.0</v>
      </c>
      <c r="B454" s="1">
        <v>18.57</v>
      </c>
      <c r="C454" s="1">
        <v>19.3</v>
      </c>
      <c r="D454" s="1">
        <v>17.93</v>
      </c>
      <c r="E454" s="1">
        <v>18.33</v>
      </c>
      <c r="F454" s="6">
        <f t="shared" si="1"/>
        <v>3</v>
      </c>
    </row>
    <row r="455" hidden="1">
      <c r="A455" s="2">
        <v>44963.0</v>
      </c>
      <c r="B455" s="1">
        <v>19.23</v>
      </c>
      <c r="C455" s="1">
        <v>19.81</v>
      </c>
      <c r="D455" s="1">
        <v>19.21</v>
      </c>
      <c r="E455" s="1">
        <v>19.43</v>
      </c>
      <c r="F455" s="6">
        <f t="shared" si="1"/>
        <v>4</v>
      </c>
    </row>
    <row r="456">
      <c r="A456" s="2">
        <v>44964.0</v>
      </c>
      <c r="B456" s="1">
        <v>19.54</v>
      </c>
      <c r="C456" s="1">
        <v>19.99</v>
      </c>
      <c r="D456" s="1">
        <v>18.43</v>
      </c>
      <c r="E456" s="1">
        <v>18.66</v>
      </c>
      <c r="F456" s="6">
        <f t="shared" si="1"/>
        <v>0</v>
      </c>
    </row>
    <row r="457" hidden="1">
      <c r="A457" s="2">
        <v>44965.0</v>
      </c>
      <c r="B457" s="1">
        <v>18.88</v>
      </c>
      <c r="C457" s="1">
        <v>20.12</v>
      </c>
      <c r="D457" s="1">
        <v>18.55</v>
      </c>
      <c r="E457" s="1">
        <v>19.63</v>
      </c>
      <c r="F457" s="6">
        <f t="shared" si="1"/>
        <v>1</v>
      </c>
    </row>
    <row r="458" hidden="1">
      <c r="A458" s="2">
        <v>44966.0</v>
      </c>
      <c r="B458" s="1">
        <v>19.24</v>
      </c>
      <c r="C458" s="1">
        <v>21.08</v>
      </c>
      <c r="D458" s="1">
        <v>19.02</v>
      </c>
      <c r="E458" s="1">
        <v>20.71</v>
      </c>
      <c r="F458" s="6">
        <f t="shared" si="1"/>
        <v>2</v>
      </c>
    </row>
    <row r="459" hidden="1">
      <c r="A459" s="2">
        <v>44967.0</v>
      </c>
      <c r="B459" s="1">
        <v>20.74</v>
      </c>
      <c r="C459" s="1">
        <v>21.94</v>
      </c>
      <c r="D459" s="1">
        <v>20.44</v>
      </c>
      <c r="E459" s="1">
        <v>20.53</v>
      </c>
      <c r="F459" s="6">
        <f t="shared" si="1"/>
        <v>3</v>
      </c>
    </row>
    <row r="460" hidden="1">
      <c r="A460" s="2">
        <v>44970.0</v>
      </c>
      <c r="B460" s="1">
        <v>21.66</v>
      </c>
      <c r="C460" s="1">
        <v>21.69</v>
      </c>
      <c r="D460" s="1">
        <v>20.33</v>
      </c>
      <c r="E460" s="1">
        <v>20.34</v>
      </c>
      <c r="F460" s="6">
        <f t="shared" si="1"/>
        <v>4</v>
      </c>
    </row>
    <row r="461">
      <c r="A461" s="2">
        <v>44971.0</v>
      </c>
      <c r="B461" s="1">
        <v>20.72</v>
      </c>
      <c r="C461" s="1">
        <v>20.75</v>
      </c>
      <c r="D461" s="1">
        <v>18.48</v>
      </c>
      <c r="E461" s="1">
        <v>18.91</v>
      </c>
      <c r="F461" s="6">
        <f t="shared" si="1"/>
        <v>0</v>
      </c>
    </row>
    <row r="462" hidden="1">
      <c r="A462" s="2">
        <v>44972.0</v>
      </c>
      <c r="B462" s="1">
        <v>19.37</v>
      </c>
      <c r="C462" s="1">
        <v>19.41</v>
      </c>
      <c r="D462" s="1">
        <v>18.11</v>
      </c>
      <c r="E462" s="1">
        <v>18.23</v>
      </c>
      <c r="F462" s="6">
        <f t="shared" si="1"/>
        <v>1</v>
      </c>
    </row>
    <row r="463" hidden="1">
      <c r="A463" s="2">
        <v>44973.0</v>
      </c>
      <c r="B463" s="1">
        <v>18.26</v>
      </c>
      <c r="C463" s="1">
        <v>20.27</v>
      </c>
      <c r="D463" s="1">
        <v>18.23</v>
      </c>
      <c r="E463" s="1">
        <v>20.17</v>
      </c>
      <c r="F463" s="6">
        <f t="shared" si="1"/>
        <v>2</v>
      </c>
    </row>
    <row r="464" hidden="1">
      <c r="A464" s="2">
        <v>44974.0</v>
      </c>
      <c r="B464" s="1">
        <v>20.94</v>
      </c>
      <c r="C464" s="1">
        <v>21.3</v>
      </c>
      <c r="D464" s="1">
        <v>19.82</v>
      </c>
      <c r="E464" s="1">
        <v>20.02</v>
      </c>
      <c r="F464" s="6">
        <f t="shared" si="1"/>
        <v>3</v>
      </c>
    </row>
    <row r="465" hidden="1">
      <c r="A465" s="2">
        <v>44977.0</v>
      </c>
      <c r="B465" s="1">
        <v>21.06</v>
      </c>
      <c r="C465" s="1">
        <v>21.28</v>
      </c>
      <c r="D465" s="1">
        <v>20.96</v>
      </c>
      <c r="E465" s="1">
        <v>21.23</v>
      </c>
      <c r="F465" s="6">
        <f t="shared" si="1"/>
        <v>4</v>
      </c>
    </row>
    <row r="466">
      <c r="A466" s="2">
        <v>44978.0</v>
      </c>
      <c r="B466" s="1">
        <v>21.8</v>
      </c>
      <c r="C466" s="1">
        <v>23.34</v>
      </c>
      <c r="D466" s="1">
        <v>21.8</v>
      </c>
      <c r="E466" s="1">
        <v>22.87</v>
      </c>
      <c r="F466" s="6">
        <f t="shared" si="1"/>
        <v>0</v>
      </c>
    </row>
    <row r="467" hidden="1">
      <c r="A467" s="2">
        <v>44979.0</v>
      </c>
      <c r="B467" s="1">
        <v>23.03</v>
      </c>
      <c r="C467" s="1">
        <v>23.63</v>
      </c>
      <c r="D467" s="1">
        <v>22.02</v>
      </c>
      <c r="E467" s="1">
        <v>22.29</v>
      </c>
      <c r="F467" s="6">
        <f t="shared" si="1"/>
        <v>1</v>
      </c>
    </row>
    <row r="468" hidden="1">
      <c r="A468" s="2">
        <v>44980.0</v>
      </c>
      <c r="B468" s="1">
        <v>21.96</v>
      </c>
      <c r="C468" s="1">
        <v>22.43</v>
      </c>
      <c r="D468" s="1">
        <v>20.89</v>
      </c>
      <c r="E468" s="1">
        <v>21.14</v>
      </c>
      <c r="F468" s="6">
        <f t="shared" si="1"/>
        <v>2</v>
      </c>
    </row>
    <row r="469" hidden="1">
      <c r="A469" s="2">
        <v>44981.0</v>
      </c>
      <c r="B469" s="1">
        <v>21.35</v>
      </c>
      <c r="C469" s="1">
        <v>22.9</v>
      </c>
      <c r="D469" s="1">
        <v>21.32</v>
      </c>
      <c r="E469" s="1">
        <v>21.67</v>
      </c>
      <c r="F469" s="6">
        <f t="shared" si="1"/>
        <v>3</v>
      </c>
    </row>
    <row r="470" hidden="1">
      <c r="A470" s="2">
        <v>44984.0</v>
      </c>
      <c r="B470" s="1">
        <v>21.99</v>
      </c>
      <c r="C470" s="1">
        <v>22.02</v>
      </c>
      <c r="D470" s="1">
        <v>20.68</v>
      </c>
      <c r="E470" s="1">
        <v>20.95</v>
      </c>
      <c r="F470" s="6">
        <f t="shared" si="1"/>
        <v>4</v>
      </c>
    </row>
    <row r="471">
      <c r="A471" s="2">
        <v>44985.0</v>
      </c>
      <c r="B471" s="1">
        <v>21.3</v>
      </c>
      <c r="C471" s="1">
        <v>21.37</v>
      </c>
      <c r="D471" s="1">
        <v>20.1</v>
      </c>
      <c r="E471" s="1">
        <v>20.7</v>
      </c>
      <c r="F471" s="6">
        <f t="shared" si="1"/>
        <v>0</v>
      </c>
    </row>
    <row r="472" hidden="1">
      <c r="A472" s="2">
        <v>44986.0</v>
      </c>
      <c r="B472" s="1">
        <v>20.39</v>
      </c>
      <c r="C472" s="1">
        <v>21.32</v>
      </c>
      <c r="D472" s="1">
        <v>20.22</v>
      </c>
      <c r="E472" s="1">
        <v>20.58</v>
      </c>
      <c r="F472" s="6">
        <f t="shared" si="1"/>
        <v>1</v>
      </c>
    </row>
    <row r="473" hidden="1">
      <c r="A473" s="2">
        <v>44987.0</v>
      </c>
      <c r="B473" s="1">
        <v>21.41</v>
      </c>
      <c r="C473" s="1">
        <v>21.42</v>
      </c>
      <c r="D473" s="1">
        <v>19.55</v>
      </c>
      <c r="E473" s="1">
        <v>19.59</v>
      </c>
      <c r="F473" s="6">
        <f t="shared" si="1"/>
        <v>2</v>
      </c>
    </row>
    <row r="474" hidden="1">
      <c r="A474" s="2">
        <v>44988.0</v>
      </c>
      <c r="B474" s="1">
        <v>19.76</v>
      </c>
      <c r="C474" s="1">
        <v>19.76</v>
      </c>
      <c r="D474" s="1">
        <v>18.16</v>
      </c>
      <c r="E474" s="1">
        <v>18.49</v>
      </c>
      <c r="F474" s="6">
        <f t="shared" si="1"/>
        <v>3</v>
      </c>
    </row>
    <row r="475" hidden="1">
      <c r="A475" s="2">
        <v>44991.0</v>
      </c>
      <c r="B475" s="1">
        <v>19.05</v>
      </c>
      <c r="C475" s="1">
        <v>19.19</v>
      </c>
      <c r="D475" s="1">
        <v>18.49</v>
      </c>
      <c r="E475" s="1">
        <v>18.61</v>
      </c>
      <c r="F475" s="6">
        <f t="shared" si="1"/>
        <v>4</v>
      </c>
    </row>
    <row r="476">
      <c r="A476" s="2">
        <v>44992.0</v>
      </c>
      <c r="B476" s="1">
        <v>18.64</v>
      </c>
      <c r="C476" s="1">
        <v>19.74</v>
      </c>
      <c r="D476" s="1">
        <v>18.51</v>
      </c>
      <c r="E476" s="1">
        <v>19.59</v>
      </c>
      <c r="F476" s="6">
        <f t="shared" si="1"/>
        <v>0</v>
      </c>
    </row>
    <row r="477" hidden="1">
      <c r="A477" s="2">
        <v>44993.0</v>
      </c>
      <c r="B477" s="1">
        <v>19.71</v>
      </c>
      <c r="C477" s="1">
        <v>20.01</v>
      </c>
      <c r="D477" s="1">
        <v>19.0</v>
      </c>
      <c r="E477" s="1">
        <v>19.11</v>
      </c>
      <c r="F477" s="6">
        <f t="shared" si="1"/>
        <v>1</v>
      </c>
    </row>
    <row r="478" hidden="1">
      <c r="A478" s="2">
        <v>44994.0</v>
      </c>
      <c r="B478" s="1">
        <v>19.33</v>
      </c>
      <c r="C478" s="1">
        <v>23.14</v>
      </c>
      <c r="D478" s="1">
        <v>18.88</v>
      </c>
      <c r="E478" s="1">
        <v>22.61</v>
      </c>
      <c r="F478" s="6">
        <f t="shared" si="1"/>
        <v>2</v>
      </c>
    </row>
    <row r="479" hidden="1">
      <c r="A479" s="2">
        <v>44995.0</v>
      </c>
      <c r="B479" s="1">
        <v>23.34</v>
      </c>
      <c r="C479" s="1">
        <v>28.97</v>
      </c>
      <c r="D479" s="1">
        <v>21.79</v>
      </c>
      <c r="E479" s="1">
        <v>24.8</v>
      </c>
      <c r="F479" s="6">
        <f t="shared" si="1"/>
        <v>3</v>
      </c>
    </row>
    <row r="480" hidden="1">
      <c r="A480" s="2">
        <v>44998.0</v>
      </c>
      <c r="B480" s="1">
        <v>24.05</v>
      </c>
      <c r="C480" s="1">
        <v>30.81</v>
      </c>
      <c r="D480" s="1">
        <v>23.85</v>
      </c>
      <c r="E480" s="1">
        <v>26.52</v>
      </c>
      <c r="F480" s="6">
        <f t="shared" si="1"/>
        <v>4</v>
      </c>
    </row>
    <row r="481">
      <c r="A481" s="2">
        <v>44999.0</v>
      </c>
      <c r="B481" s="1">
        <v>26.85</v>
      </c>
      <c r="C481" s="1">
        <v>27.24</v>
      </c>
      <c r="D481" s="1">
        <v>22.27</v>
      </c>
      <c r="E481" s="1">
        <v>23.73</v>
      </c>
      <c r="F481" s="6">
        <f t="shared" si="1"/>
        <v>0</v>
      </c>
    </row>
    <row r="482" hidden="1">
      <c r="A482" s="2">
        <v>45000.0</v>
      </c>
      <c r="B482" s="1">
        <v>23.21</v>
      </c>
      <c r="C482" s="1">
        <v>29.91</v>
      </c>
      <c r="D482" s="1">
        <v>23.19</v>
      </c>
      <c r="E482" s="1">
        <v>26.14</v>
      </c>
      <c r="F482" s="6">
        <f t="shared" si="1"/>
        <v>1</v>
      </c>
    </row>
    <row r="483" hidden="1">
      <c r="A483" s="2">
        <v>45001.0</v>
      </c>
      <c r="B483" s="1">
        <v>26.19</v>
      </c>
      <c r="C483" s="1">
        <v>27.49</v>
      </c>
      <c r="D483" s="1">
        <v>22.97</v>
      </c>
      <c r="E483" s="1">
        <v>22.99</v>
      </c>
      <c r="F483" s="6">
        <f t="shared" si="1"/>
        <v>2</v>
      </c>
    </row>
    <row r="484" hidden="1">
      <c r="A484" s="2">
        <v>45002.0</v>
      </c>
      <c r="B484" s="1">
        <v>22.92</v>
      </c>
      <c r="C484" s="1">
        <v>26.14</v>
      </c>
      <c r="D484" s="1">
        <v>22.58</v>
      </c>
      <c r="E484" s="1">
        <v>25.51</v>
      </c>
      <c r="F484" s="6">
        <f t="shared" si="1"/>
        <v>3</v>
      </c>
    </row>
    <row r="485" hidden="1">
      <c r="A485" s="2">
        <v>45005.0</v>
      </c>
      <c r="B485" s="1">
        <v>27.77</v>
      </c>
      <c r="C485" s="1">
        <v>28.91</v>
      </c>
      <c r="D485" s="1">
        <v>24.0</v>
      </c>
      <c r="E485" s="1">
        <v>24.15</v>
      </c>
      <c r="F485" s="6">
        <f t="shared" si="1"/>
        <v>4</v>
      </c>
    </row>
    <row r="486">
      <c r="A486" s="2">
        <v>45006.0</v>
      </c>
      <c r="B486" s="1">
        <v>24.16</v>
      </c>
      <c r="C486" s="1">
        <v>24.16</v>
      </c>
      <c r="D486" s="1">
        <v>21.29</v>
      </c>
      <c r="E486" s="1">
        <v>21.38</v>
      </c>
      <c r="F486" s="6">
        <f t="shared" si="1"/>
        <v>0</v>
      </c>
    </row>
    <row r="487" hidden="1">
      <c r="A487" s="2">
        <v>45007.0</v>
      </c>
      <c r="B487" s="1">
        <v>21.8</v>
      </c>
      <c r="C487" s="1">
        <v>22.38</v>
      </c>
      <c r="D487" s="1">
        <v>19.94</v>
      </c>
      <c r="E487" s="1">
        <v>22.26</v>
      </c>
      <c r="F487" s="6">
        <f t="shared" si="1"/>
        <v>1</v>
      </c>
    </row>
    <row r="488" hidden="1">
      <c r="A488" s="2">
        <v>45008.0</v>
      </c>
      <c r="B488" s="1">
        <v>21.54</v>
      </c>
      <c r="C488" s="1">
        <v>24.91</v>
      </c>
      <c r="D488" s="1">
        <v>20.16</v>
      </c>
      <c r="E488" s="1">
        <v>22.61</v>
      </c>
      <c r="F488" s="6">
        <f t="shared" si="1"/>
        <v>2</v>
      </c>
    </row>
    <row r="489" hidden="1">
      <c r="A489" s="2">
        <v>45009.0</v>
      </c>
      <c r="B489" s="1">
        <v>22.11</v>
      </c>
      <c r="C489" s="1">
        <v>25.21</v>
      </c>
      <c r="D489" s="1">
        <v>21.6</v>
      </c>
      <c r="E489" s="1">
        <v>21.74</v>
      </c>
      <c r="F489" s="6">
        <f t="shared" si="1"/>
        <v>3</v>
      </c>
    </row>
    <row r="490" hidden="1">
      <c r="A490" s="2">
        <v>45012.0</v>
      </c>
      <c r="B490" s="1">
        <v>22.05</v>
      </c>
      <c r="C490" s="1">
        <v>22.93</v>
      </c>
      <c r="D490" s="1">
        <v>20.57</v>
      </c>
      <c r="E490" s="1">
        <v>20.6</v>
      </c>
      <c r="F490" s="6">
        <f t="shared" si="1"/>
        <v>4</v>
      </c>
    </row>
    <row r="491">
      <c r="A491" s="2">
        <v>45013.0</v>
      </c>
      <c r="B491" s="1">
        <v>20.53</v>
      </c>
      <c r="C491" s="1">
        <v>21.4</v>
      </c>
      <c r="D491" s="1">
        <v>19.91</v>
      </c>
      <c r="E491" s="1">
        <v>19.97</v>
      </c>
      <c r="F491" s="6">
        <f t="shared" si="1"/>
        <v>0</v>
      </c>
    </row>
    <row r="492" hidden="1">
      <c r="A492" s="2">
        <v>45014.0</v>
      </c>
      <c r="B492" s="1">
        <v>19.39</v>
      </c>
      <c r="C492" s="1">
        <v>19.45</v>
      </c>
      <c r="D492" s="1">
        <v>19.09</v>
      </c>
      <c r="E492" s="1">
        <v>19.12</v>
      </c>
      <c r="F492" s="6">
        <f t="shared" si="1"/>
        <v>1</v>
      </c>
    </row>
    <row r="493" hidden="1">
      <c r="A493" s="2">
        <v>45015.0</v>
      </c>
      <c r="B493" s="1">
        <v>19.12</v>
      </c>
      <c r="C493" s="1">
        <v>20.08</v>
      </c>
      <c r="D493" s="1">
        <v>18.85</v>
      </c>
      <c r="E493" s="1">
        <v>19.02</v>
      </c>
      <c r="F493" s="6">
        <f t="shared" si="1"/>
        <v>2</v>
      </c>
    </row>
    <row r="494" hidden="1">
      <c r="A494" s="2">
        <v>45016.0</v>
      </c>
      <c r="B494" s="1">
        <v>19.21</v>
      </c>
      <c r="C494" s="1">
        <v>19.43</v>
      </c>
      <c r="D494" s="1">
        <v>18.52</v>
      </c>
      <c r="E494" s="1">
        <v>18.7</v>
      </c>
      <c r="F494" s="6">
        <f t="shared" si="1"/>
        <v>3</v>
      </c>
    </row>
    <row r="495" hidden="1">
      <c r="A495" s="2">
        <v>45019.0</v>
      </c>
      <c r="B495" s="1">
        <v>19.79</v>
      </c>
      <c r="C495" s="1">
        <v>19.83</v>
      </c>
      <c r="D495" s="1">
        <v>18.54</v>
      </c>
      <c r="E495" s="1">
        <v>18.55</v>
      </c>
      <c r="F495" s="6">
        <f t="shared" si="1"/>
        <v>4</v>
      </c>
    </row>
    <row r="496">
      <c r="A496" s="2">
        <v>45020.0</v>
      </c>
      <c r="B496" s="1">
        <v>18.79</v>
      </c>
      <c r="C496" s="1">
        <v>20.03</v>
      </c>
      <c r="D496" s="1">
        <v>18.58</v>
      </c>
      <c r="E496" s="1">
        <v>19.0</v>
      </c>
      <c r="F496" s="6">
        <f t="shared" si="1"/>
        <v>0</v>
      </c>
    </row>
    <row r="497" hidden="1">
      <c r="A497" s="2">
        <v>45021.0</v>
      </c>
      <c r="B497" s="1">
        <v>19.42</v>
      </c>
      <c r="C497" s="1">
        <v>20.08</v>
      </c>
      <c r="D497" s="1">
        <v>19.0</v>
      </c>
      <c r="E497" s="1">
        <v>19.08</v>
      </c>
      <c r="F497" s="6">
        <f t="shared" si="1"/>
        <v>1</v>
      </c>
    </row>
    <row r="498" hidden="1">
      <c r="A498" s="2">
        <v>45022.0</v>
      </c>
      <c r="B498" s="1">
        <v>19.3</v>
      </c>
      <c r="C498" s="1">
        <v>19.88</v>
      </c>
      <c r="D498" s="1">
        <v>18.35</v>
      </c>
      <c r="E498" s="1">
        <v>18.4</v>
      </c>
      <c r="F498" s="6">
        <f t="shared" si="1"/>
        <v>2</v>
      </c>
    </row>
    <row r="499" hidden="1">
      <c r="A499" s="2">
        <v>45026.0</v>
      </c>
      <c r="B499" s="1">
        <v>19.39</v>
      </c>
      <c r="C499" s="1">
        <v>20.05</v>
      </c>
      <c r="D499" s="1">
        <v>18.93</v>
      </c>
      <c r="E499" s="1">
        <v>18.97</v>
      </c>
      <c r="F499" s="6">
        <f t="shared" si="1"/>
        <v>3</v>
      </c>
    </row>
    <row r="500" hidden="1">
      <c r="A500" s="2">
        <v>45027.0</v>
      </c>
      <c r="B500" s="1">
        <v>19.08</v>
      </c>
      <c r="C500" s="1">
        <v>19.28</v>
      </c>
      <c r="D500" s="1">
        <v>18.56</v>
      </c>
      <c r="E500" s="1">
        <v>19.1</v>
      </c>
      <c r="F500" s="6">
        <f t="shared" si="1"/>
        <v>4</v>
      </c>
    </row>
    <row r="501">
      <c r="A501" s="2">
        <v>45028.0</v>
      </c>
      <c r="B501" s="1">
        <v>19.38</v>
      </c>
      <c r="C501" s="1">
        <v>19.98</v>
      </c>
      <c r="D501" s="1">
        <v>18.25</v>
      </c>
      <c r="E501" s="1">
        <v>19.09</v>
      </c>
      <c r="F501" s="6">
        <f t="shared" si="1"/>
        <v>0</v>
      </c>
    </row>
    <row r="502" hidden="1">
      <c r="A502" s="2">
        <v>45029.0</v>
      </c>
      <c r="B502" s="1">
        <v>18.83</v>
      </c>
      <c r="C502" s="1">
        <v>19.06</v>
      </c>
      <c r="D502" s="1">
        <v>17.77</v>
      </c>
      <c r="E502" s="1">
        <v>17.8</v>
      </c>
      <c r="F502" s="6">
        <f t="shared" si="1"/>
        <v>1</v>
      </c>
    </row>
    <row r="503" hidden="1">
      <c r="A503" s="2">
        <v>45030.0</v>
      </c>
      <c r="B503" s="1">
        <v>17.94</v>
      </c>
      <c r="C503" s="1">
        <v>18.12</v>
      </c>
      <c r="D503" s="1">
        <v>17.07</v>
      </c>
      <c r="E503" s="1">
        <v>17.07</v>
      </c>
      <c r="F503" s="6">
        <f t="shared" si="1"/>
        <v>2</v>
      </c>
    </row>
    <row r="504" hidden="1">
      <c r="A504" s="2">
        <v>45033.0</v>
      </c>
      <c r="B504" s="1">
        <v>17.58</v>
      </c>
      <c r="C504" s="1">
        <v>17.79</v>
      </c>
      <c r="D504" s="1">
        <v>16.9</v>
      </c>
      <c r="E504" s="1">
        <v>16.95</v>
      </c>
      <c r="F504" s="6">
        <f t="shared" si="1"/>
        <v>3</v>
      </c>
    </row>
    <row r="505" hidden="1">
      <c r="A505" s="2">
        <v>45034.0</v>
      </c>
      <c r="B505" s="1">
        <v>16.94</v>
      </c>
      <c r="C505" s="1">
        <v>17.34</v>
      </c>
      <c r="D505" s="1">
        <v>16.58</v>
      </c>
      <c r="E505" s="1">
        <v>16.83</v>
      </c>
      <c r="F505" s="6">
        <f t="shared" si="1"/>
        <v>4</v>
      </c>
    </row>
    <row r="506">
      <c r="A506" s="2">
        <v>45035.0</v>
      </c>
      <c r="B506" s="1">
        <v>17.3</v>
      </c>
      <c r="C506" s="1">
        <v>17.72</v>
      </c>
      <c r="D506" s="1">
        <v>16.17</v>
      </c>
      <c r="E506" s="1">
        <v>16.46</v>
      </c>
      <c r="F506" s="6">
        <f t="shared" si="1"/>
        <v>0</v>
      </c>
    </row>
    <row r="507" hidden="1">
      <c r="A507" s="2">
        <v>45036.0</v>
      </c>
      <c r="B507" s="1">
        <v>16.85</v>
      </c>
      <c r="C507" s="1">
        <v>17.69</v>
      </c>
      <c r="D507" s="1">
        <v>16.33</v>
      </c>
      <c r="E507" s="1">
        <v>17.17</v>
      </c>
      <c r="F507" s="6">
        <f t="shared" si="1"/>
        <v>1</v>
      </c>
    </row>
    <row r="508" hidden="1">
      <c r="A508" s="2">
        <v>45037.0</v>
      </c>
      <c r="B508" s="1">
        <v>17.51</v>
      </c>
      <c r="C508" s="1">
        <v>17.71</v>
      </c>
      <c r="D508" s="1">
        <v>16.58</v>
      </c>
      <c r="E508" s="1">
        <v>16.77</v>
      </c>
      <c r="F508" s="6">
        <f t="shared" si="1"/>
        <v>2</v>
      </c>
    </row>
    <row r="509" hidden="1">
      <c r="A509" s="2">
        <v>45040.0</v>
      </c>
      <c r="B509" s="1">
        <v>18.22</v>
      </c>
      <c r="C509" s="1">
        <v>18.24</v>
      </c>
      <c r="D509" s="1">
        <v>16.74</v>
      </c>
      <c r="E509" s="1">
        <v>16.89</v>
      </c>
      <c r="F509" s="6">
        <f t="shared" si="1"/>
        <v>3</v>
      </c>
    </row>
    <row r="510" hidden="1">
      <c r="A510" s="2">
        <v>45041.0</v>
      </c>
      <c r="B510" s="1">
        <v>17.62</v>
      </c>
      <c r="C510" s="1">
        <v>19.86</v>
      </c>
      <c r="D510" s="1">
        <v>17.33</v>
      </c>
      <c r="E510" s="1">
        <v>18.76</v>
      </c>
      <c r="F510" s="6">
        <f t="shared" si="1"/>
        <v>4</v>
      </c>
    </row>
    <row r="511">
      <c r="A511" s="2">
        <v>45042.0</v>
      </c>
      <c r="B511" s="1">
        <v>18.66</v>
      </c>
      <c r="C511" s="1">
        <v>19.61</v>
      </c>
      <c r="D511" s="1">
        <v>17.87</v>
      </c>
      <c r="E511" s="1">
        <v>18.84</v>
      </c>
      <c r="F511" s="6">
        <f t="shared" si="1"/>
        <v>0</v>
      </c>
    </row>
    <row r="512" hidden="1">
      <c r="A512" s="2">
        <v>45043.0</v>
      </c>
      <c r="B512" s="1">
        <v>18.43</v>
      </c>
      <c r="C512" s="1">
        <v>18.43</v>
      </c>
      <c r="D512" s="1">
        <v>16.72</v>
      </c>
      <c r="E512" s="1">
        <v>17.03</v>
      </c>
      <c r="F512" s="6">
        <f t="shared" si="1"/>
        <v>1</v>
      </c>
    </row>
    <row r="513" hidden="1">
      <c r="A513" s="2">
        <v>45044.0</v>
      </c>
      <c r="B513" s="1">
        <v>17.21</v>
      </c>
      <c r="C513" s="1">
        <v>17.65</v>
      </c>
      <c r="D513" s="1">
        <v>15.72</v>
      </c>
      <c r="E513" s="1">
        <v>15.78</v>
      </c>
      <c r="F513" s="6">
        <f t="shared" si="1"/>
        <v>2</v>
      </c>
    </row>
    <row r="514" hidden="1">
      <c r="A514" s="2">
        <v>45047.0</v>
      </c>
      <c r="B514" s="1">
        <v>16.41</v>
      </c>
      <c r="C514" s="1">
        <v>16.62</v>
      </c>
      <c r="D514" s="1">
        <v>15.53</v>
      </c>
      <c r="E514" s="1">
        <v>16.08</v>
      </c>
      <c r="F514" s="6">
        <f t="shared" si="1"/>
        <v>3</v>
      </c>
    </row>
    <row r="515" hidden="1">
      <c r="A515" s="2">
        <v>45048.0</v>
      </c>
      <c r="B515" s="1">
        <v>16.27</v>
      </c>
      <c r="C515" s="1">
        <v>19.81</v>
      </c>
      <c r="D515" s="1">
        <v>16.26</v>
      </c>
      <c r="E515" s="1">
        <v>17.78</v>
      </c>
      <c r="F515" s="6">
        <f t="shared" si="1"/>
        <v>4</v>
      </c>
    </row>
    <row r="516">
      <c r="A516" s="2">
        <v>45049.0</v>
      </c>
      <c r="B516" s="1">
        <v>17.82</v>
      </c>
      <c r="C516" s="1">
        <v>18.83</v>
      </c>
      <c r="D516" s="1">
        <v>17.19</v>
      </c>
      <c r="E516" s="1">
        <v>18.34</v>
      </c>
      <c r="F516" s="6">
        <f t="shared" si="1"/>
        <v>0</v>
      </c>
    </row>
    <row r="517" hidden="1">
      <c r="A517" s="2">
        <v>45050.0</v>
      </c>
      <c r="B517" s="1">
        <v>19.17</v>
      </c>
      <c r="C517" s="1">
        <v>21.33</v>
      </c>
      <c r="D517" s="1">
        <v>18.67</v>
      </c>
      <c r="E517" s="1">
        <v>20.09</v>
      </c>
      <c r="F517" s="6">
        <f t="shared" si="1"/>
        <v>1</v>
      </c>
    </row>
    <row r="518" hidden="1">
      <c r="A518" s="2">
        <v>45051.0</v>
      </c>
      <c r="B518" s="1">
        <v>19.5</v>
      </c>
      <c r="C518" s="1">
        <v>19.63</v>
      </c>
      <c r="D518" s="1">
        <v>16.69</v>
      </c>
      <c r="E518" s="1">
        <v>17.19</v>
      </c>
      <c r="F518" s="6">
        <f t="shared" si="1"/>
        <v>2</v>
      </c>
    </row>
    <row r="519" hidden="1">
      <c r="A519" s="2">
        <v>45054.0</v>
      </c>
      <c r="B519" s="1">
        <v>17.73</v>
      </c>
      <c r="C519" s="1">
        <v>17.88</v>
      </c>
      <c r="D519" s="1">
        <v>16.83</v>
      </c>
      <c r="E519" s="1">
        <v>16.98</v>
      </c>
      <c r="F519" s="6">
        <f t="shared" si="1"/>
        <v>3</v>
      </c>
    </row>
    <row r="520" hidden="1">
      <c r="A520" s="2">
        <v>45055.0</v>
      </c>
      <c r="B520" s="1">
        <v>17.29</v>
      </c>
      <c r="C520" s="1">
        <v>17.86</v>
      </c>
      <c r="D520" s="1">
        <v>17.22</v>
      </c>
      <c r="E520" s="1">
        <v>17.71</v>
      </c>
      <c r="F520" s="6">
        <f t="shared" si="1"/>
        <v>4</v>
      </c>
    </row>
    <row r="521">
      <c r="A521" s="2">
        <v>45056.0</v>
      </c>
      <c r="B521" s="1">
        <v>17.58</v>
      </c>
      <c r="C521" s="1">
        <v>18.31</v>
      </c>
      <c r="D521" s="1">
        <v>16.36</v>
      </c>
      <c r="E521" s="1">
        <v>16.94</v>
      </c>
      <c r="F521" s="6">
        <f t="shared" si="1"/>
        <v>0</v>
      </c>
    </row>
    <row r="522" hidden="1">
      <c r="A522" s="2">
        <v>45057.0</v>
      </c>
      <c r="B522" s="1">
        <v>16.8</v>
      </c>
      <c r="C522" s="1">
        <v>18.19</v>
      </c>
      <c r="D522" s="1">
        <v>16.63</v>
      </c>
      <c r="E522" s="1">
        <v>16.93</v>
      </c>
      <c r="F522" s="6">
        <f t="shared" si="1"/>
        <v>1</v>
      </c>
    </row>
    <row r="523" hidden="1">
      <c r="A523" s="2">
        <v>45058.0</v>
      </c>
      <c r="B523" s="1">
        <v>16.83</v>
      </c>
      <c r="C523" s="1">
        <v>17.92</v>
      </c>
      <c r="D523" s="1">
        <v>16.38</v>
      </c>
      <c r="E523" s="1">
        <v>17.03</v>
      </c>
      <c r="F523" s="6">
        <f t="shared" si="1"/>
        <v>2</v>
      </c>
    </row>
    <row r="524" hidden="1">
      <c r="A524" s="2">
        <v>45061.0</v>
      </c>
      <c r="B524" s="1">
        <v>17.44</v>
      </c>
      <c r="C524" s="1">
        <v>18.16</v>
      </c>
      <c r="D524" s="1">
        <v>17.08</v>
      </c>
      <c r="E524" s="1">
        <v>17.12</v>
      </c>
      <c r="F524" s="6">
        <f t="shared" si="1"/>
        <v>3</v>
      </c>
    </row>
    <row r="525" hidden="1">
      <c r="A525" s="2">
        <v>45062.0</v>
      </c>
      <c r="B525" s="1">
        <v>17.54</v>
      </c>
      <c r="C525" s="1">
        <v>18.3</v>
      </c>
      <c r="D525" s="1">
        <v>17.26</v>
      </c>
      <c r="E525" s="1">
        <v>17.99</v>
      </c>
      <c r="F525" s="6">
        <f t="shared" si="1"/>
        <v>4</v>
      </c>
    </row>
    <row r="526">
      <c r="A526" s="2">
        <v>45063.0</v>
      </c>
      <c r="B526" s="1">
        <v>17.96</v>
      </c>
      <c r="C526" s="1">
        <v>18.26</v>
      </c>
      <c r="D526" s="1">
        <v>16.68</v>
      </c>
      <c r="E526" s="1">
        <v>16.87</v>
      </c>
      <c r="F526" s="6">
        <f t="shared" si="1"/>
        <v>0</v>
      </c>
    </row>
    <row r="527" hidden="1">
      <c r="A527" s="2">
        <v>45064.0</v>
      </c>
      <c r="B527" s="1">
        <v>16.92</v>
      </c>
      <c r="C527" s="1">
        <v>17.15</v>
      </c>
      <c r="D527" s="1">
        <v>16.05</v>
      </c>
      <c r="E527" s="1">
        <v>16.05</v>
      </c>
      <c r="F527" s="6">
        <f t="shared" si="1"/>
        <v>1</v>
      </c>
    </row>
    <row r="528" hidden="1">
      <c r="A528" s="2">
        <v>45065.0</v>
      </c>
      <c r="B528" s="1">
        <v>16.13</v>
      </c>
      <c r="C528" s="1">
        <v>17.36</v>
      </c>
      <c r="D528" s="1">
        <v>15.85</v>
      </c>
      <c r="E528" s="1">
        <v>16.81</v>
      </c>
      <c r="F528" s="6">
        <f t="shared" si="1"/>
        <v>2</v>
      </c>
    </row>
    <row r="529" hidden="1">
      <c r="A529" s="2">
        <v>45068.0</v>
      </c>
      <c r="B529" s="1">
        <v>17.45</v>
      </c>
      <c r="C529" s="1">
        <v>18.13</v>
      </c>
      <c r="D529" s="1">
        <v>16.82</v>
      </c>
      <c r="E529" s="1">
        <v>17.21</v>
      </c>
      <c r="F529" s="6">
        <f t="shared" si="1"/>
        <v>3</v>
      </c>
    </row>
    <row r="530" hidden="1">
      <c r="A530" s="2">
        <v>45069.0</v>
      </c>
      <c r="B530" s="1">
        <v>17.35</v>
      </c>
      <c r="C530" s="1">
        <v>19.31</v>
      </c>
      <c r="D530" s="1">
        <v>17.3</v>
      </c>
      <c r="E530" s="1">
        <v>18.53</v>
      </c>
      <c r="F530" s="6">
        <f t="shared" si="1"/>
        <v>4</v>
      </c>
    </row>
    <row r="531">
      <c r="A531" s="2">
        <v>45070.0</v>
      </c>
      <c r="B531" s="1">
        <v>18.8</v>
      </c>
      <c r="C531" s="1">
        <v>20.81</v>
      </c>
      <c r="D531" s="1">
        <v>18.8</v>
      </c>
      <c r="E531" s="1">
        <v>20.03</v>
      </c>
      <c r="F531" s="6">
        <f t="shared" si="1"/>
        <v>0</v>
      </c>
    </row>
    <row r="532" hidden="1">
      <c r="A532" s="2">
        <v>45071.0</v>
      </c>
      <c r="B532" s="1">
        <v>19.54</v>
      </c>
      <c r="C532" s="1">
        <v>19.95</v>
      </c>
      <c r="D532" s="1">
        <v>18.7</v>
      </c>
      <c r="E532" s="1">
        <v>19.14</v>
      </c>
      <c r="F532" s="6">
        <f t="shared" si="1"/>
        <v>1</v>
      </c>
    </row>
    <row r="533" hidden="1">
      <c r="A533" s="2">
        <v>45072.0</v>
      </c>
      <c r="B533" s="1">
        <v>19.07</v>
      </c>
      <c r="C533" s="1">
        <v>19.56</v>
      </c>
      <c r="D533" s="1">
        <v>17.27</v>
      </c>
      <c r="E533" s="1">
        <v>17.95</v>
      </c>
      <c r="F533" s="6">
        <f t="shared" si="1"/>
        <v>2</v>
      </c>
    </row>
    <row r="534" hidden="1">
      <c r="A534" s="2">
        <v>45075.0</v>
      </c>
      <c r="B534" s="1">
        <v>17.53</v>
      </c>
      <c r="C534" s="1">
        <v>17.6</v>
      </c>
      <c r="D534" s="1">
        <v>17.34</v>
      </c>
      <c r="E534" s="1">
        <v>17.46</v>
      </c>
      <c r="F534" s="6">
        <f t="shared" si="1"/>
        <v>3</v>
      </c>
    </row>
    <row r="535" hidden="1">
      <c r="A535" s="2">
        <v>45076.0</v>
      </c>
      <c r="B535" s="1">
        <v>17.56</v>
      </c>
      <c r="C535" s="1">
        <v>18.34</v>
      </c>
      <c r="D535" s="1">
        <v>16.98</v>
      </c>
      <c r="E535" s="1">
        <v>17.46</v>
      </c>
      <c r="F535" s="6">
        <f t="shared" si="1"/>
        <v>4</v>
      </c>
    </row>
    <row r="536">
      <c r="A536" s="2">
        <v>45077.0</v>
      </c>
      <c r="B536" s="1">
        <v>18.04</v>
      </c>
      <c r="C536" s="1">
        <v>18.4</v>
      </c>
      <c r="D536" s="1">
        <v>17.12</v>
      </c>
      <c r="E536" s="1">
        <v>17.94</v>
      </c>
      <c r="F536" s="6">
        <f t="shared" si="1"/>
        <v>0</v>
      </c>
    </row>
    <row r="537" hidden="1">
      <c r="A537" s="2">
        <v>45078.0</v>
      </c>
      <c r="B537" s="1">
        <v>17.24</v>
      </c>
      <c r="C537" s="1">
        <v>17.59</v>
      </c>
      <c r="D537" s="1">
        <v>15.58</v>
      </c>
      <c r="E537" s="1">
        <v>15.65</v>
      </c>
      <c r="F537" s="6">
        <f t="shared" si="1"/>
        <v>1</v>
      </c>
    </row>
    <row r="538" hidden="1">
      <c r="A538" s="2">
        <v>45079.0</v>
      </c>
      <c r="B538" s="1">
        <v>15.65</v>
      </c>
      <c r="C538" s="1">
        <v>15.65</v>
      </c>
      <c r="D538" s="1">
        <v>14.42</v>
      </c>
      <c r="E538" s="1">
        <v>14.6</v>
      </c>
      <c r="F538" s="6">
        <f t="shared" si="1"/>
        <v>2</v>
      </c>
    </row>
    <row r="539" hidden="1">
      <c r="A539" s="2">
        <v>45082.0</v>
      </c>
      <c r="B539" s="1">
        <v>15.28</v>
      </c>
      <c r="C539" s="1">
        <v>15.29</v>
      </c>
      <c r="D539" s="1">
        <v>14.66</v>
      </c>
      <c r="E539" s="1">
        <v>14.73</v>
      </c>
      <c r="F539" s="6">
        <f t="shared" si="1"/>
        <v>3</v>
      </c>
    </row>
    <row r="540" hidden="1">
      <c r="A540" s="2">
        <v>45083.0</v>
      </c>
      <c r="B540" s="1">
        <v>14.91</v>
      </c>
      <c r="C540" s="1">
        <v>14.97</v>
      </c>
      <c r="D540" s="1">
        <v>13.95</v>
      </c>
      <c r="E540" s="1">
        <v>13.96</v>
      </c>
      <c r="F540" s="6">
        <f t="shared" si="1"/>
        <v>4</v>
      </c>
    </row>
    <row r="541">
      <c r="A541" s="2">
        <v>45084.0</v>
      </c>
      <c r="B541" s="1">
        <v>14.14</v>
      </c>
      <c r="C541" s="1">
        <v>14.29</v>
      </c>
      <c r="D541" s="1">
        <v>13.77</v>
      </c>
      <c r="E541" s="1">
        <v>13.94</v>
      </c>
      <c r="F541" s="6">
        <f t="shared" si="1"/>
        <v>0</v>
      </c>
    </row>
    <row r="542" hidden="1">
      <c r="A542" s="2">
        <v>45085.0</v>
      </c>
      <c r="B542" s="1">
        <v>14.14</v>
      </c>
      <c r="C542" s="1">
        <v>14.21</v>
      </c>
      <c r="D542" s="1">
        <v>13.53</v>
      </c>
      <c r="E542" s="1">
        <v>13.65</v>
      </c>
      <c r="F542" s="6">
        <f t="shared" si="1"/>
        <v>1</v>
      </c>
    </row>
    <row r="543" hidden="1">
      <c r="A543" s="2">
        <v>45086.0</v>
      </c>
      <c r="B543" s="1">
        <v>13.78</v>
      </c>
      <c r="C543" s="1">
        <v>14.14</v>
      </c>
      <c r="D543" s="1">
        <v>13.5</v>
      </c>
      <c r="E543" s="1">
        <v>13.83</v>
      </c>
      <c r="F543" s="6">
        <f t="shared" si="1"/>
        <v>2</v>
      </c>
    </row>
    <row r="544" hidden="1">
      <c r="A544" s="2">
        <v>45089.0</v>
      </c>
      <c r="B544" s="1">
        <v>14.44</v>
      </c>
      <c r="C544" s="1">
        <v>15.02</v>
      </c>
      <c r="D544" s="1">
        <v>14.32</v>
      </c>
      <c r="E544" s="1">
        <v>15.01</v>
      </c>
      <c r="F544" s="6">
        <f t="shared" si="1"/>
        <v>3</v>
      </c>
    </row>
    <row r="545" hidden="1">
      <c r="A545" s="2">
        <v>45090.0</v>
      </c>
      <c r="B545" s="1">
        <v>14.99</v>
      </c>
      <c r="C545" s="1">
        <v>15.06</v>
      </c>
      <c r="D545" s="1">
        <v>14.47</v>
      </c>
      <c r="E545" s="1">
        <v>14.61</v>
      </c>
      <c r="F545" s="6">
        <f t="shared" si="1"/>
        <v>4</v>
      </c>
    </row>
    <row r="546">
      <c r="A546" s="2">
        <v>45091.0</v>
      </c>
      <c r="B546" s="1">
        <v>14.48</v>
      </c>
      <c r="C546" s="1">
        <v>14.73</v>
      </c>
      <c r="D546" s="1">
        <v>13.83</v>
      </c>
      <c r="E546" s="1">
        <v>13.88</v>
      </c>
      <c r="F546" s="6">
        <f t="shared" si="1"/>
        <v>0</v>
      </c>
    </row>
    <row r="547" hidden="1">
      <c r="A547" s="2">
        <v>45092.0</v>
      </c>
      <c r="B547" s="1">
        <v>14.09</v>
      </c>
      <c r="C547" s="1">
        <v>14.52</v>
      </c>
      <c r="D547" s="1">
        <v>13.79</v>
      </c>
      <c r="E547" s="1">
        <v>14.5</v>
      </c>
      <c r="F547" s="6">
        <f t="shared" si="1"/>
        <v>1</v>
      </c>
    </row>
    <row r="548" hidden="1">
      <c r="A548" s="2">
        <v>45093.0</v>
      </c>
      <c r="B548" s="1">
        <v>14.49</v>
      </c>
      <c r="C548" s="1">
        <v>14.54</v>
      </c>
      <c r="D548" s="1">
        <v>13.48</v>
      </c>
      <c r="E548" s="1">
        <v>13.54</v>
      </c>
      <c r="F548" s="6">
        <f t="shared" si="1"/>
        <v>2</v>
      </c>
    </row>
    <row r="549" hidden="1">
      <c r="A549" s="2">
        <v>45096.0</v>
      </c>
      <c r="B549" s="1">
        <v>14.09</v>
      </c>
      <c r="C549" s="1">
        <v>14.19</v>
      </c>
      <c r="D549" s="1">
        <v>14.01</v>
      </c>
      <c r="E549" s="1">
        <v>14.19</v>
      </c>
      <c r="F549" s="6">
        <f t="shared" si="1"/>
        <v>3</v>
      </c>
    </row>
    <row r="550" hidden="1">
      <c r="A550" s="2">
        <v>45097.0</v>
      </c>
      <c r="B550" s="1">
        <v>14.36</v>
      </c>
      <c r="C550" s="1">
        <v>14.67</v>
      </c>
      <c r="D550" s="1">
        <v>13.86</v>
      </c>
      <c r="E550" s="1">
        <v>13.88</v>
      </c>
      <c r="F550" s="6">
        <f t="shared" si="1"/>
        <v>4</v>
      </c>
    </row>
    <row r="551">
      <c r="A551" s="2">
        <v>45098.0</v>
      </c>
      <c r="B551" s="1">
        <v>13.88</v>
      </c>
      <c r="C551" s="1">
        <v>13.89</v>
      </c>
      <c r="D551" s="1">
        <v>13.1</v>
      </c>
      <c r="E551" s="1">
        <v>13.2</v>
      </c>
      <c r="F551" s="6">
        <f t="shared" si="1"/>
        <v>0</v>
      </c>
    </row>
    <row r="552" hidden="1">
      <c r="A552" s="2">
        <v>45099.0</v>
      </c>
      <c r="B552" s="1">
        <v>13.88</v>
      </c>
      <c r="C552" s="1">
        <v>13.98</v>
      </c>
      <c r="D552" s="1">
        <v>12.73</v>
      </c>
      <c r="E552" s="1">
        <v>12.91</v>
      </c>
      <c r="F552" s="6">
        <f t="shared" si="1"/>
        <v>1</v>
      </c>
    </row>
    <row r="553" hidden="1">
      <c r="A553" s="2">
        <v>45100.0</v>
      </c>
      <c r="B553" s="1">
        <v>13.24</v>
      </c>
      <c r="C553" s="1">
        <v>13.8</v>
      </c>
      <c r="D553" s="1">
        <v>12.88</v>
      </c>
      <c r="E553" s="1">
        <v>13.44</v>
      </c>
      <c r="F553" s="6">
        <f t="shared" si="1"/>
        <v>2</v>
      </c>
    </row>
    <row r="554" hidden="1">
      <c r="A554" s="2">
        <v>45103.0</v>
      </c>
      <c r="B554" s="1">
        <v>14.43</v>
      </c>
      <c r="C554" s="1">
        <v>14.71</v>
      </c>
      <c r="D554" s="1">
        <v>13.78</v>
      </c>
      <c r="E554" s="1">
        <v>14.25</v>
      </c>
      <c r="F554" s="6">
        <f t="shared" si="1"/>
        <v>3</v>
      </c>
    </row>
    <row r="555" hidden="1">
      <c r="A555" s="2">
        <v>45104.0</v>
      </c>
      <c r="B555" s="1">
        <v>14.11</v>
      </c>
      <c r="C555" s="1">
        <v>14.34</v>
      </c>
      <c r="D555" s="1">
        <v>13.59</v>
      </c>
      <c r="E555" s="1">
        <v>13.74</v>
      </c>
      <c r="F555" s="6">
        <f t="shared" si="1"/>
        <v>4</v>
      </c>
    </row>
    <row r="556">
      <c r="A556" s="2">
        <v>45105.0</v>
      </c>
      <c r="B556" s="1">
        <v>13.9</v>
      </c>
      <c r="C556" s="1">
        <v>13.96</v>
      </c>
      <c r="D556" s="1">
        <v>13.36</v>
      </c>
      <c r="E556" s="1">
        <v>13.43</v>
      </c>
      <c r="F556" s="6">
        <f t="shared" si="1"/>
        <v>0</v>
      </c>
    </row>
    <row r="557" hidden="1">
      <c r="A557" s="2">
        <v>45106.0</v>
      </c>
      <c r="B557" s="1">
        <v>13.64</v>
      </c>
      <c r="C557" s="1">
        <v>13.85</v>
      </c>
      <c r="D557" s="1">
        <v>13.41</v>
      </c>
      <c r="E557" s="1">
        <v>13.54</v>
      </c>
      <c r="F557" s="6">
        <f t="shared" si="1"/>
        <v>1</v>
      </c>
    </row>
    <row r="558" hidden="1">
      <c r="A558" s="2">
        <v>45107.0</v>
      </c>
      <c r="B558" s="1">
        <v>13.51</v>
      </c>
      <c r="C558" s="1">
        <v>13.59</v>
      </c>
      <c r="D558" s="1">
        <v>12.96</v>
      </c>
      <c r="E558" s="1">
        <v>13.59</v>
      </c>
      <c r="F558" s="6">
        <f t="shared" si="1"/>
        <v>2</v>
      </c>
    </row>
    <row r="559" hidden="1">
      <c r="A559" s="2">
        <v>45110.0</v>
      </c>
      <c r="B559" s="1">
        <v>13.85</v>
      </c>
      <c r="C559" s="1">
        <v>13.85</v>
      </c>
      <c r="D559" s="1">
        <v>13.47</v>
      </c>
      <c r="E559" s="1">
        <v>13.57</v>
      </c>
      <c r="F559" s="6">
        <f t="shared" si="1"/>
        <v>3</v>
      </c>
    </row>
    <row r="560" hidden="1">
      <c r="A560" s="2">
        <v>45111.0</v>
      </c>
      <c r="B560" s="1">
        <v>13.54</v>
      </c>
      <c r="C560" s="1">
        <v>13.71</v>
      </c>
      <c r="D560" s="1">
        <v>13.52</v>
      </c>
      <c r="E560" s="1">
        <v>13.7</v>
      </c>
      <c r="F560" s="6">
        <f t="shared" si="1"/>
        <v>4</v>
      </c>
    </row>
    <row r="561">
      <c r="A561" s="2">
        <v>45112.0</v>
      </c>
      <c r="B561" s="1">
        <v>14.19</v>
      </c>
      <c r="C561" s="1">
        <v>14.74</v>
      </c>
      <c r="D561" s="1">
        <v>14.05</v>
      </c>
      <c r="E561" s="1">
        <v>14.18</v>
      </c>
      <c r="F561" s="6">
        <f t="shared" si="1"/>
        <v>0</v>
      </c>
    </row>
    <row r="562" hidden="1">
      <c r="A562" s="2">
        <v>45113.0</v>
      </c>
      <c r="B562" s="1">
        <v>14.85</v>
      </c>
      <c r="C562" s="1">
        <v>17.08</v>
      </c>
      <c r="D562" s="1">
        <v>14.79</v>
      </c>
      <c r="E562" s="1">
        <v>15.44</v>
      </c>
      <c r="F562" s="6">
        <f t="shared" si="1"/>
        <v>1</v>
      </c>
    </row>
    <row r="563" hidden="1">
      <c r="A563" s="2">
        <v>45114.0</v>
      </c>
      <c r="B563" s="1">
        <v>15.97</v>
      </c>
      <c r="C563" s="1">
        <v>16.06</v>
      </c>
      <c r="D563" s="1">
        <v>14.33</v>
      </c>
      <c r="E563" s="1">
        <v>14.83</v>
      </c>
      <c r="F563" s="6">
        <f t="shared" si="1"/>
        <v>2</v>
      </c>
    </row>
    <row r="564" hidden="1">
      <c r="A564" s="2">
        <v>45117.0</v>
      </c>
      <c r="B564" s="1">
        <v>16.08</v>
      </c>
      <c r="C564" s="1">
        <v>16.21</v>
      </c>
      <c r="D564" s="1">
        <v>15.04</v>
      </c>
      <c r="E564" s="1">
        <v>15.07</v>
      </c>
      <c r="F564" s="6">
        <f t="shared" si="1"/>
        <v>3</v>
      </c>
    </row>
    <row r="565" hidden="1">
      <c r="A565" s="2">
        <v>45118.0</v>
      </c>
      <c r="B565" s="1">
        <v>15.02</v>
      </c>
      <c r="C565" s="1">
        <v>15.25</v>
      </c>
      <c r="D565" s="1">
        <v>14.63</v>
      </c>
      <c r="E565" s="1">
        <v>14.84</v>
      </c>
      <c r="F565" s="6">
        <f t="shared" si="1"/>
        <v>4</v>
      </c>
    </row>
    <row r="566">
      <c r="A566" s="2">
        <v>45119.0</v>
      </c>
      <c r="B566" s="1">
        <v>14.82</v>
      </c>
      <c r="C566" s="1">
        <v>14.82</v>
      </c>
      <c r="D566" s="1">
        <v>13.51</v>
      </c>
      <c r="E566" s="1">
        <v>13.54</v>
      </c>
      <c r="F566" s="6">
        <f t="shared" si="1"/>
        <v>0</v>
      </c>
    </row>
    <row r="567" hidden="1">
      <c r="A567" s="2">
        <v>45120.0</v>
      </c>
      <c r="B567" s="1">
        <v>13.44</v>
      </c>
      <c r="C567" s="1">
        <v>13.61</v>
      </c>
      <c r="D567" s="1">
        <v>13.12</v>
      </c>
      <c r="E567" s="1">
        <v>13.61</v>
      </c>
      <c r="F567" s="6">
        <f t="shared" si="1"/>
        <v>1</v>
      </c>
    </row>
    <row r="568" hidden="1">
      <c r="A568" s="2">
        <v>45121.0</v>
      </c>
      <c r="B568" s="1">
        <v>13.72</v>
      </c>
      <c r="C568" s="1">
        <v>13.76</v>
      </c>
      <c r="D568" s="1">
        <v>13.22</v>
      </c>
      <c r="E568" s="1">
        <v>13.34</v>
      </c>
      <c r="F568" s="6">
        <f t="shared" si="1"/>
        <v>2</v>
      </c>
    </row>
    <row r="569" hidden="1">
      <c r="A569" s="2">
        <v>45124.0</v>
      </c>
      <c r="B569" s="1">
        <v>13.78</v>
      </c>
      <c r="C569" s="1">
        <v>14.0</v>
      </c>
      <c r="D569" s="1">
        <v>13.43</v>
      </c>
      <c r="E569" s="1">
        <v>13.48</v>
      </c>
      <c r="F569" s="6">
        <f t="shared" si="1"/>
        <v>3</v>
      </c>
    </row>
    <row r="570" hidden="1">
      <c r="A570" s="2">
        <v>45125.0</v>
      </c>
      <c r="B570" s="1">
        <v>13.61</v>
      </c>
      <c r="C570" s="1">
        <v>13.67</v>
      </c>
      <c r="D570" s="1">
        <v>13.29</v>
      </c>
      <c r="E570" s="1">
        <v>13.3</v>
      </c>
      <c r="F570" s="6">
        <f t="shared" si="1"/>
        <v>4</v>
      </c>
    </row>
    <row r="571">
      <c r="A571" s="2">
        <v>45126.0</v>
      </c>
      <c r="B571" s="1">
        <v>13.32</v>
      </c>
      <c r="C571" s="1">
        <v>13.84</v>
      </c>
      <c r="D571" s="1">
        <v>13.12</v>
      </c>
      <c r="E571" s="1">
        <v>13.76</v>
      </c>
      <c r="F571" s="6">
        <f t="shared" si="1"/>
        <v>0</v>
      </c>
    </row>
    <row r="572" hidden="1">
      <c r="A572" s="2">
        <v>45127.0</v>
      </c>
      <c r="B572" s="1">
        <v>13.96</v>
      </c>
      <c r="C572" s="1">
        <v>14.23</v>
      </c>
      <c r="D572" s="1">
        <v>13.58</v>
      </c>
      <c r="E572" s="1">
        <v>13.99</v>
      </c>
      <c r="F572" s="6">
        <f t="shared" si="1"/>
        <v>1</v>
      </c>
    </row>
    <row r="573" hidden="1">
      <c r="A573" s="2">
        <v>45128.0</v>
      </c>
      <c r="B573" s="1">
        <v>13.87</v>
      </c>
      <c r="C573" s="1">
        <v>13.89</v>
      </c>
      <c r="D573" s="1">
        <v>13.37</v>
      </c>
      <c r="E573" s="1">
        <v>13.6</v>
      </c>
      <c r="F573" s="6">
        <f t="shared" si="1"/>
        <v>2</v>
      </c>
    </row>
    <row r="574" hidden="1">
      <c r="A574" s="2">
        <v>45131.0</v>
      </c>
      <c r="B574" s="1">
        <v>14.29</v>
      </c>
      <c r="C574" s="1">
        <v>14.3</v>
      </c>
      <c r="D574" s="1">
        <v>13.73</v>
      </c>
      <c r="E574" s="1">
        <v>13.91</v>
      </c>
      <c r="F574" s="6">
        <f t="shared" si="1"/>
        <v>3</v>
      </c>
    </row>
    <row r="575" hidden="1">
      <c r="A575" s="2">
        <v>45132.0</v>
      </c>
      <c r="B575" s="1">
        <v>14.02</v>
      </c>
      <c r="C575" s="1">
        <v>14.09</v>
      </c>
      <c r="D575" s="1">
        <v>13.82</v>
      </c>
      <c r="E575" s="1">
        <v>13.86</v>
      </c>
      <c r="F575" s="6">
        <f t="shared" si="1"/>
        <v>4</v>
      </c>
    </row>
    <row r="576">
      <c r="A576" s="2">
        <v>45133.0</v>
      </c>
      <c r="B576" s="1">
        <v>13.86</v>
      </c>
      <c r="C576" s="1">
        <v>14.16</v>
      </c>
      <c r="D576" s="1">
        <v>13.15</v>
      </c>
      <c r="E576" s="1">
        <v>13.19</v>
      </c>
      <c r="F576" s="6">
        <f t="shared" si="1"/>
        <v>0</v>
      </c>
    </row>
    <row r="577" hidden="1">
      <c r="A577" s="2">
        <v>45134.0</v>
      </c>
      <c r="B577" s="1">
        <v>13.14</v>
      </c>
      <c r="C577" s="1">
        <v>15.02</v>
      </c>
      <c r="D577" s="1">
        <v>12.74</v>
      </c>
      <c r="E577" s="1">
        <v>14.41</v>
      </c>
      <c r="F577" s="6">
        <f t="shared" si="1"/>
        <v>1</v>
      </c>
    </row>
    <row r="578" hidden="1">
      <c r="A578" s="2">
        <v>45135.0</v>
      </c>
      <c r="B578" s="1">
        <v>14.03</v>
      </c>
      <c r="C578" s="1">
        <v>14.18</v>
      </c>
      <c r="D578" s="1">
        <v>13.27</v>
      </c>
      <c r="E578" s="1">
        <v>13.33</v>
      </c>
      <c r="F578" s="6">
        <f t="shared" si="1"/>
        <v>2</v>
      </c>
    </row>
    <row r="579" hidden="1">
      <c r="A579" s="2">
        <v>45138.0</v>
      </c>
      <c r="B579" s="1">
        <v>13.98</v>
      </c>
      <c r="C579" s="1">
        <v>14.09</v>
      </c>
      <c r="D579" s="1">
        <v>13.57</v>
      </c>
      <c r="E579" s="1">
        <v>13.63</v>
      </c>
      <c r="F579" s="6">
        <f t="shared" si="1"/>
        <v>3</v>
      </c>
    </row>
    <row r="580" hidden="1">
      <c r="A580" s="2">
        <v>45139.0</v>
      </c>
      <c r="B580" s="1">
        <v>13.75</v>
      </c>
      <c r="C580" s="1">
        <v>14.3</v>
      </c>
      <c r="D580" s="1">
        <v>13.75</v>
      </c>
      <c r="E580" s="1">
        <v>13.93</v>
      </c>
      <c r="F580" s="6">
        <f t="shared" si="1"/>
        <v>4</v>
      </c>
    </row>
    <row r="581">
      <c r="A581" s="2">
        <v>45140.0</v>
      </c>
      <c r="B581" s="1">
        <v>15.7</v>
      </c>
      <c r="C581" s="1">
        <v>16.48</v>
      </c>
      <c r="D581" s="1">
        <v>14.95</v>
      </c>
      <c r="E581" s="1">
        <v>16.09</v>
      </c>
      <c r="F581" s="6">
        <f t="shared" si="1"/>
        <v>0</v>
      </c>
    </row>
    <row r="582" hidden="1">
      <c r="A582" s="2">
        <v>45141.0</v>
      </c>
      <c r="B582" s="1">
        <v>16.77</v>
      </c>
      <c r="C582" s="1">
        <v>17.42</v>
      </c>
      <c r="D582" s="1">
        <v>15.72</v>
      </c>
      <c r="E582" s="1">
        <v>15.92</v>
      </c>
      <c r="F582" s="6">
        <f t="shared" si="1"/>
        <v>1</v>
      </c>
    </row>
    <row r="583" hidden="1">
      <c r="A583" s="2">
        <v>45142.0</v>
      </c>
      <c r="B583" s="1">
        <v>16.01</v>
      </c>
      <c r="C583" s="1">
        <v>17.39</v>
      </c>
      <c r="D583" s="1">
        <v>14.57</v>
      </c>
      <c r="E583" s="1">
        <v>17.1</v>
      </c>
      <c r="F583" s="6">
        <f t="shared" si="1"/>
        <v>2</v>
      </c>
    </row>
    <row r="584" hidden="1">
      <c r="A584" s="2">
        <v>45145.0</v>
      </c>
      <c r="B584" s="1">
        <v>16.9</v>
      </c>
      <c r="C584" s="1">
        <v>17.36</v>
      </c>
      <c r="D584" s="1">
        <v>15.77</v>
      </c>
      <c r="E584" s="1">
        <v>15.77</v>
      </c>
      <c r="F584" s="6">
        <f t="shared" si="1"/>
        <v>3</v>
      </c>
    </row>
    <row r="585" hidden="1">
      <c r="A585" s="2">
        <v>45146.0</v>
      </c>
      <c r="B585" s="1">
        <v>16.28</v>
      </c>
      <c r="C585" s="1">
        <v>18.14</v>
      </c>
      <c r="D585" s="1">
        <v>15.96</v>
      </c>
      <c r="E585" s="1">
        <v>15.99</v>
      </c>
      <c r="F585" s="6">
        <f t="shared" si="1"/>
        <v>4</v>
      </c>
    </row>
    <row r="586">
      <c r="A586" s="2">
        <v>45147.0</v>
      </c>
      <c r="B586" s="1">
        <v>15.81</v>
      </c>
      <c r="C586" s="1">
        <v>16.87</v>
      </c>
      <c r="D586" s="1">
        <v>15.38</v>
      </c>
      <c r="E586" s="1">
        <v>15.96</v>
      </c>
      <c r="F586" s="6">
        <f t="shared" si="1"/>
        <v>0</v>
      </c>
    </row>
    <row r="587" hidden="1">
      <c r="A587" s="2">
        <v>45148.0</v>
      </c>
      <c r="B587" s="1">
        <v>15.58</v>
      </c>
      <c r="C587" s="1">
        <v>16.86</v>
      </c>
      <c r="D587" s="1">
        <v>14.6</v>
      </c>
      <c r="E587" s="1">
        <v>15.85</v>
      </c>
      <c r="F587" s="6">
        <f t="shared" si="1"/>
        <v>1</v>
      </c>
    </row>
    <row r="588" hidden="1">
      <c r="A588" s="2">
        <v>45149.0</v>
      </c>
      <c r="B588" s="1">
        <v>15.53</v>
      </c>
      <c r="C588" s="1">
        <v>16.51</v>
      </c>
      <c r="D588" s="1">
        <v>14.84</v>
      </c>
      <c r="E588" s="1">
        <v>14.84</v>
      </c>
      <c r="F588" s="6">
        <f t="shared" si="1"/>
        <v>2</v>
      </c>
    </row>
    <row r="589" hidden="1">
      <c r="A589" s="2">
        <v>45152.0</v>
      </c>
      <c r="B589" s="1">
        <v>15.88</v>
      </c>
      <c r="C589" s="1">
        <v>16.06</v>
      </c>
      <c r="D589" s="1">
        <v>14.77</v>
      </c>
      <c r="E589" s="1">
        <v>14.82</v>
      </c>
      <c r="F589" s="6">
        <f t="shared" si="1"/>
        <v>3</v>
      </c>
    </row>
    <row r="590" hidden="1">
      <c r="A590" s="2">
        <v>45153.0</v>
      </c>
      <c r="B590" s="1">
        <v>14.95</v>
      </c>
      <c r="C590" s="1">
        <v>16.57</v>
      </c>
      <c r="D590" s="1">
        <v>14.91</v>
      </c>
      <c r="E590" s="1">
        <v>16.46</v>
      </c>
      <c r="F590" s="6">
        <f t="shared" si="1"/>
        <v>4</v>
      </c>
    </row>
    <row r="591">
      <c r="A591" s="2">
        <v>45154.0</v>
      </c>
      <c r="B591" s="1">
        <v>16.54</v>
      </c>
      <c r="C591" s="1">
        <v>16.93</v>
      </c>
      <c r="D591" s="1">
        <v>15.8</v>
      </c>
      <c r="E591" s="1">
        <v>16.78</v>
      </c>
      <c r="F591" s="6">
        <f t="shared" si="1"/>
        <v>0</v>
      </c>
    </row>
    <row r="592" hidden="1">
      <c r="A592" s="2">
        <v>45155.0</v>
      </c>
      <c r="B592" s="1">
        <v>16.96</v>
      </c>
      <c r="C592" s="1">
        <v>18.13</v>
      </c>
      <c r="D592" s="1">
        <v>16.4</v>
      </c>
      <c r="E592" s="1">
        <v>17.89</v>
      </c>
      <c r="F592" s="6">
        <f t="shared" si="1"/>
        <v>1</v>
      </c>
    </row>
    <row r="593" hidden="1">
      <c r="A593" s="2">
        <v>45156.0</v>
      </c>
      <c r="B593" s="1">
        <v>17.8</v>
      </c>
      <c r="C593" s="1">
        <v>18.88</v>
      </c>
      <c r="D593" s="1">
        <v>17.14</v>
      </c>
      <c r="E593" s="1">
        <v>17.3</v>
      </c>
      <c r="F593" s="6">
        <f t="shared" si="1"/>
        <v>2</v>
      </c>
    </row>
    <row r="594" hidden="1">
      <c r="A594" s="2">
        <v>45159.0</v>
      </c>
      <c r="B594" s="1">
        <v>18.03</v>
      </c>
      <c r="C594" s="1">
        <v>18.11</v>
      </c>
      <c r="D594" s="1">
        <v>16.88</v>
      </c>
      <c r="E594" s="1">
        <v>17.13</v>
      </c>
      <c r="F594" s="6">
        <f t="shared" si="1"/>
        <v>3</v>
      </c>
    </row>
    <row r="595" hidden="1">
      <c r="A595" s="2">
        <v>45160.0</v>
      </c>
      <c r="B595" s="1">
        <v>16.96</v>
      </c>
      <c r="C595" s="1">
        <v>17.58</v>
      </c>
      <c r="D595" s="1">
        <v>16.61</v>
      </c>
      <c r="E595" s="1">
        <v>16.97</v>
      </c>
      <c r="F595" s="6">
        <f t="shared" si="1"/>
        <v>4</v>
      </c>
    </row>
    <row r="596">
      <c r="A596" s="2">
        <v>45161.0</v>
      </c>
      <c r="B596" s="1">
        <v>16.64</v>
      </c>
      <c r="C596" s="1">
        <v>17.1</v>
      </c>
      <c r="D596" s="1">
        <v>15.91</v>
      </c>
      <c r="E596" s="1">
        <v>15.98</v>
      </c>
      <c r="F596" s="6">
        <f t="shared" si="1"/>
        <v>0</v>
      </c>
    </row>
    <row r="597" hidden="1">
      <c r="A597" s="2">
        <v>45162.0</v>
      </c>
      <c r="B597" s="1">
        <v>15.57</v>
      </c>
      <c r="C597" s="1">
        <v>17.32</v>
      </c>
      <c r="D597" s="1">
        <v>15.48</v>
      </c>
      <c r="E597" s="1">
        <v>17.2</v>
      </c>
      <c r="F597" s="6">
        <f t="shared" si="1"/>
        <v>1</v>
      </c>
    </row>
    <row r="598" hidden="1">
      <c r="A598" s="2">
        <v>45163.0</v>
      </c>
      <c r="B598" s="1">
        <v>17.21</v>
      </c>
      <c r="C598" s="1">
        <v>17.36</v>
      </c>
      <c r="D598" s="1">
        <v>15.45</v>
      </c>
      <c r="E598" s="1">
        <v>15.68</v>
      </c>
      <c r="F598" s="6">
        <f t="shared" si="1"/>
        <v>2</v>
      </c>
    </row>
    <row r="599" hidden="1">
      <c r="A599" s="2">
        <v>45166.0</v>
      </c>
      <c r="B599" s="1">
        <v>16.24</v>
      </c>
      <c r="C599" s="1">
        <v>16.28</v>
      </c>
      <c r="D599" s="1">
        <v>15.0</v>
      </c>
      <c r="E599" s="1">
        <v>15.08</v>
      </c>
      <c r="F599" s="6">
        <f t="shared" si="1"/>
        <v>3</v>
      </c>
    </row>
    <row r="600" hidden="1">
      <c r="A600" s="2">
        <v>45167.0</v>
      </c>
      <c r="B600" s="1">
        <v>15.08</v>
      </c>
      <c r="C600" s="1">
        <v>15.3</v>
      </c>
      <c r="D600" s="1">
        <v>14.34</v>
      </c>
      <c r="E600" s="1">
        <v>14.45</v>
      </c>
      <c r="F600" s="6">
        <f t="shared" si="1"/>
        <v>4</v>
      </c>
    </row>
    <row r="601">
      <c r="A601" s="2">
        <v>45168.0</v>
      </c>
      <c r="B601" s="1">
        <v>14.53</v>
      </c>
      <c r="C601" s="1">
        <v>14.7</v>
      </c>
      <c r="D601" s="1">
        <v>13.83</v>
      </c>
      <c r="E601" s="1">
        <v>13.88</v>
      </c>
      <c r="F601" s="6">
        <f t="shared" si="1"/>
        <v>0</v>
      </c>
    </row>
    <row r="602" hidden="1">
      <c r="A602" s="2">
        <v>45169.0</v>
      </c>
      <c r="B602" s="1">
        <v>13.98</v>
      </c>
      <c r="C602" s="1">
        <v>14.0</v>
      </c>
      <c r="D602" s="1">
        <v>13.44</v>
      </c>
      <c r="E602" s="1">
        <v>13.57</v>
      </c>
      <c r="F602" s="6">
        <f t="shared" si="1"/>
        <v>1</v>
      </c>
    </row>
    <row r="603" hidden="1">
      <c r="A603" s="2">
        <v>45170.0</v>
      </c>
      <c r="B603" s="1">
        <v>13.56</v>
      </c>
      <c r="C603" s="1">
        <v>13.56</v>
      </c>
      <c r="D603" s="1">
        <v>13.02</v>
      </c>
      <c r="E603" s="1">
        <v>13.09</v>
      </c>
      <c r="F603" s="6">
        <f t="shared" si="1"/>
        <v>2</v>
      </c>
    </row>
    <row r="604" hidden="1">
      <c r="A604" s="2">
        <v>45173.0</v>
      </c>
      <c r="B604" s="1">
        <v>13.62</v>
      </c>
      <c r="C604" s="1">
        <v>13.82</v>
      </c>
      <c r="D604" s="1">
        <v>13.51</v>
      </c>
      <c r="E604" s="1">
        <v>13.82</v>
      </c>
      <c r="F604" s="6">
        <f t="shared" si="1"/>
        <v>3</v>
      </c>
    </row>
    <row r="605" hidden="1">
      <c r="A605" s="2">
        <v>45174.0</v>
      </c>
      <c r="B605" s="1">
        <v>14.15</v>
      </c>
      <c r="C605" s="1">
        <v>14.47</v>
      </c>
      <c r="D605" s="1">
        <v>13.7</v>
      </c>
      <c r="E605" s="1">
        <v>14.01</v>
      </c>
      <c r="F605" s="6">
        <f t="shared" si="1"/>
        <v>4</v>
      </c>
    </row>
    <row r="606">
      <c r="A606" s="2">
        <v>45175.0</v>
      </c>
      <c r="B606" s="1">
        <v>14.27</v>
      </c>
      <c r="C606" s="1">
        <v>15.3</v>
      </c>
      <c r="D606" s="1">
        <v>14.13</v>
      </c>
      <c r="E606" s="1">
        <v>14.45</v>
      </c>
      <c r="F606" s="6">
        <f t="shared" si="1"/>
        <v>0</v>
      </c>
    </row>
    <row r="607" hidden="1">
      <c r="A607" s="2">
        <v>45176.0</v>
      </c>
      <c r="B607" s="1">
        <v>14.81</v>
      </c>
      <c r="C607" s="1">
        <v>15.69</v>
      </c>
      <c r="D607" s="1">
        <v>14.4</v>
      </c>
      <c r="E607" s="1">
        <v>14.4</v>
      </c>
      <c r="F607" s="6">
        <f t="shared" si="1"/>
        <v>1</v>
      </c>
    </row>
    <row r="608" hidden="1">
      <c r="A608" s="2">
        <v>45177.0</v>
      </c>
      <c r="B608" s="1">
        <v>14.22</v>
      </c>
      <c r="C608" s="1">
        <v>14.87</v>
      </c>
      <c r="D608" s="1">
        <v>13.58</v>
      </c>
      <c r="E608" s="1">
        <v>13.84</v>
      </c>
      <c r="F608" s="6">
        <f t="shared" si="1"/>
        <v>2</v>
      </c>
    </row>
    <row r="609" hidden="1">
      <c r="A609" s="2">
        <v>45180.0</v>
      </c>
      <c r="B609" s="1">
        <v>14.17</v>
      </c>
      <c r="C609" s="1">
        <v>14.33</v>
      </c>
      <c r="D609" s="1">
        <v>13.74</v>
      </c>
      <c r="E609" s="1">
        <v>13.8</v>
      </c>
      <c r="F609" s="6">
        <f t="shared" si="1"/>
        <v>3</v>
      </c>
    </row>
    <row r="610" hidden="1">
      <c r="A610" s="2">
        <v>45181.0</v>
      </c>
      <c r="B610" s="1">
        <v>14.02</v>
      </c>
      <c r="C610" s="1">
        <v>14.42</v>
      </c>
      <c r="D610" s="1">
        <v>13.71</v>
      </c>
      <c r="E610" s="1">
        <v>14.23</v>
      </c>
      <c r="F610" s="6">
        <f t="shared" si="1"/>
        <v>4</v>
      </c>
    </row>
    <row r="611">
      <c r="A611" s="2">
        <v>45182.0</v>
      </c>
      <c r="B611" s="1">
        <v>14.42</v>
      </c>
      <c r="C611" s="1">
        <v>14.68</v>
      </c>
      <c r="D611" s="1">
        <v>13.41</v>
      </c>
      <c r="E611" s="1">
        <v>13.48</v>
      </c>
      <c r="F611" s="6">
        <f t="shared" si="1"/>
        <v>0</v>
      </c>
    </row>
    <row r="612" hidden="1">
      <c r="A612" s="2">
        <v>45183.0</v>
      </c>
      <c r="B612" s="1">
        <v>13.39</v>
      </c>
      <c r="C612" s="1">
        <v>13.46</v>
      </c>
      <c r="D612" s="1">
        <v>12.79</v>
      </c>
      <c r="E612" s="1">
        <v>12.82</v>
      </c>
      <c r="F612" s="6">
        <f t="shared" si="1"/>
        <v>1</v>
      </c>
    </row>
    <row r="613" hidden="1">
      <c r="A613" s="2">
        <v>45184.0</v>
      </c>
      <c r="B613" s="1">
        <v>12.7</v>
      </c>
      <c r="C613" s="1">
        <v>14.17</v>
      </c>
      <c r="D613" s="1">
        <v>12.68</v>
      </c>
      <c r="E613" s="1">
        <v>13.79</v>
      </c>
      <c r="F613" s="6">
        <f t="shared" si="1"/>
        <v>2</v>
      </c>
    </row>
    <row r="614" hidden="1">
      <c r="A614" s="2">
        <v>45187.0</v>
      </c>
      <c r="B614" s="1">
        <v>14.4</v>
      </c>
      <c r="C614" s="1">
        <v>14.75</v>
      </c>
      <c r="D614" s="1">
        <v>13.86</v>
      </c>
      <c r="E614" s="1">
        <v>14.0</v>
      </c>
      <c r="F614" s="6">
        <f t="shared" si="1"/>
        <v>3</v>
      </c>
    </row>
    <row r="615" hidden="1">
      <c r="A615" s="2">
        <v>45188.0</v>
      </c>
      <c r="B615" s="1">
        <v>14.11</v>
      </c>
      <c r="C615" s="1">
        <v>14.88</v>
      </c>
      <c r="D615" s="1">
        <v>13.86</v>
      </c>
      <c r="E615" s="1">
        <v>14.11</v>
      </c>
      <c r="F615" s="6">
        <f t="shared" si="1"/>
        <v>4</v>
      </c>
    </row>
    <row r="616">
      <c r="A616" s="2">
        <v>45189.0</v>
      </c>
      <c r="B616" s="1">
        <v>14.18</v>
      </c>
      <c r="C616" s="1">
        <v>15.15</v>
      </c>
      <c r="D616" s="1">
        <v>13.57</v>
      </c>
      <c r="E616" s="1">
        <v>15.14</v>
      </c>
      <c r="F616" s="6">
        <f t="shared" si="1"/>
        <v>0</v>
      </c>
    </row>
    <row r="617" hidden="1">
      <c r="A617" s="2">
        <v>45190.0</v>
      </c>
      <c r="B617" s="1">
        <v>15.49</v>
      </c>
      <c r="C617" s="1">
        <v>17.54</v>
      </c>
      <c r="D617" s="1">
        <v>15.1</v>
      </c>
      <c r="E617" s="1">
        <v>17.54</v>
      </c>
      <c r="F617" s="6">
        <f t="shared" si="1"/>
        <v>1</v>
      </c>
    </row>
    <row r="618" hidden="1">
      <c r="A618" s="2">
        <v>45191.0</v>
      </c>
      <c r="B618" s="1">
        <v>17.31</v>
      </c>
      <c r="C618" s="1">
        <v>17.41</v>
      </c>
      <c r="D618" s="1">
        <v>15.93</v>
      </c>
      <c r="E618" s="1">
        <v>17.2</v>
      </c>
      <c r="F618" s="6">
        <f t="shared" si="1"/>
        <v>2</v>
      </c>
    </row>
    <row r="619" hidden="1">
      <c r="A619" s="2">
        <v>45194.0</v>
      </c>
      <c r="B619" s="1">
        <v>17.25</v>
      </c>
      <c r="C619" s="1">
        <v>18.41</v>
      </c>
      <c r="D619" s="1">
        <v>16.79</v>
      </c>
      <c r="E619" s="1">
        <v>16.9</v>
      </c>
      <c r="F619" s="6">
        <f t="shared" si="1"/>
        <v>3</v>
      </c>
    </row>
    <row r="620" hidden="1">
      <c r="A620" s="2">
        <v>45195.0</v>
      </c>
      <c r="B620" s="1">
        <v>18.03</v>
      </c>
      <c r="C620" s="1">
        <v>19.5</v>
      </c>
      <c r="D620" s="1">
        <v>17.17</v>
      </c>
      <c r="E620" s="1">
        <v>18.94</v>
      </c>
      <c r="F620" s="6">
        <f t="shared" si="1"/>
        <v>4</v>
      </c>
    </row>
    <row r="621">
      <c r="A621" s="2">
        <v>45196.0</v>
      </c>
      <c r="B621" s="1">
        <v>18.29</v>
      </c>
      <c r="C621" s="1">
        <v>19.71</v>
      </c>
      <c r="D621" s="1">
        <v>18.03</v>
      </c>
      <c r="E621" s="1">
        <v>18.22</v>
      </c>
      <c r="F621" s="6">
        <f t="shared" si="1"/>
        <v>0</v>
      </c>
    </row>
    <row r="622" hidden="1">
      <c r="A622" s="2">
        <v>45197.0</v>
      </c>
      <c r="B622" s="1">
        <v>18.22</v>
      </c>
      <c r="C622" s="1">
        <v>18.77</v>
      </c>
      <c r="D622" s="1">
        <v>17.06</v>
      </c>
      <c r="E622" s="1">
        <v>17.34</v>
      </c>
      <c r="F622" s="6">
        <f t="shared" si="1"/>
        <v>1</v>
      </c>
    </row>
    <row r="623" hidden="1">
      <c r="A623" s="2">
        <v>45198.0</v>
      </c>
      <c r="B623" s="1">
        <v>16.87</v>
      </c>
      <c r="C623" s="1">
        <v>17.74</v>
      </c>
      <c r="D623" s="1">
        <v>15.83</v>
      </c>
      <c r="E623" s="1">
        <v>17.52</v>
      </c>
      <c r="F623" s="6">
        <f t="shared" si="1"/>
        <v>2</v>
      </c>
    </row>
    <row r="624" hidden="1">
      <c r="A624" s="2">
        <v>45201.0</v>
      </c>
      <c r="B624" s="1">
        <v>17.31</v>
      </c>
      <c r="C624" s="1">
        <v>18.55</v>
      </c>
      <c r="D624" s="1">
        <v>16.93</v>
      </c>
      <c r="E624" s="1">
        <v>17.61</v>
      </c>
      <c r="F624" s="6">
        <f t="shared" si="1"/>
        <v>3</v>
      </c>
    </row>
    <row r="625" hidden="1">
      <c r="A625" s="2">
        <v>45202.0</v>
      </c>
      <c r="B625" s="1">
        <v>17.81</v>
      </c>
      <c r="C625" s="1">
        <v>20.48</v>
      </c>
      <c r="D625" s="1">
        <v>17.52</v>
      </c>
      <c r="E625" s="1">
        <v>19.78</v>
      </c>
      <c r="F625" s="6">
        <f t="shared" si="1"/>
        <v>4</v>
      </c>
    </row>
    <row r="626">
      <c r="A626" s="2">
        <v>45203.0</v>
      </c>
      <c r="B626" s="1">
        <v>20.72</v>
      </c>
      <c r="C626" s="1">
        <v>20.88</v>
      </c>
      <c r="D626" s="1">
        <v>18.3</v>
      </c>
      <c r="E626" s="1">
        <v>18.58</v>
      </c>
      <c r="F626" s="6">
        <f t="shared" si="1"/>
        <v>0</v>
      </c>
    </row>
    <row r="627" hidden="1">
      <c r="A627" s="2">
        <v>45204.0</v>
      </c>
      <c r="B627" s="1">
        <v>18.67</v>
      </c>
      <c r="C627" s="1">
        <v>19.58</v>
      </c>
      <c r="D627" s="1">
        <v>18.26</v>
      </c>
      <c r="E627" s="1">
        <v>18.49</v>
      </c>
      <c r="F627" s="6">
        <f t="shared" si="1"/>
        <v>1</v>
      </c>
    </row>
    <row r="628" hidden="1">
      <c r="A628" s="2">
        <v>45205.0</v>
      </c>
      <c r="B628" s="1">
        <v>18.73</v>
      </c>
      <c r="C628" s="1">
        <v>19.93</v>
      </c>
      <c r="D628" s="1">
        <v>17.19</v>
      </c>
      <c r="E628" s="1">
        <v>17.45</v>
      </c>
      <c r="F628" s="6">
        <f t="shared" si="1"/>
        <v>2</v>
      </c>
    </row>
    <row r="629" hidden="1">
      <c r="A629" s="2">
        <v>45208.0</v>
      </c>
      <c r="B629" s="1">
        <v>19.54</v>
      </c>
      <c r="C629" s="1">
        <v>19.6</v>
      </c>
      <c r="D629" s="1">
        <v>17.56</v>
      </c>
      <c r="E629" s="1">
        <v>17.7</v>
      </c>
      <c r="F629" s="6">
        <f t="shared" si="1"/>
        <v>3</v>
      </c>
    </row>
    <row r="630" hidden="1">
      <c r="A630" s="5">
        <v>45209.0</v>
      </c>
      <c r="B630" s="1">
        <v>17.7</v>
      </c>
      <c r="C630" s="1">
        <v>17.86</v>
      </c>
      <c r="D630" s="1">
        <v>16.51</v>
      </c>
      <c r="E630" s="1">
        <v>17.03</v>
      </c>
      <c r="F630" s="6">
        <f t="shared" si="1"/>
        <v>4</v>
      </c>
    </row>
    <row r="631">
      <c r="A631" s="5">
        <v>45210.0</v>
      </c>
      <c r="B631" s="1">
        <v>16.95</v>
      </c>
      <c r="C631" s="1">
        <v>17.78</v>
      </c>
      <c r="D631" s="1">
        <v>16.09</v>
      </c>
      <c r="E631" s="1">
        <v>16.09</v>
      </c>
      <c r="F631" s="6">
        <f t="shared" si="1"/>
        <v>0</v>
      </c>
    </row>
    <row r="632" hidden="1">
      <c r="A632" s="5">
        <v>45211.0</v>
      </c>
      <c r="B632" s="1">
        <v>16.08</v>
      </c>
      <c r="C632" s="1">
        <v>18.08</v>
      </c>
      <c r="D632" s="1">
        <v>15.44</v>
      </c>
      <c r="E632" s="1">
        <v>16.69</v>
      </c>
      <c r="F632" s="6">
        <f t="shared" si="1"/>
        <v>1</v>
      </c>
    </row>
    <row r="633" hidden="1">
      <c r="A633" s="5">
        <v>45212.0</v>
      </c>
      <c r="B633" s="1">
        <v>16.53</v>
      </c>
      <c r="C633" s="1">
        <v>20.78</v>
      </c>
      <c r="D633" s="1">
        <v>16.5</v>
      </c>
      <c r="E633" s="1">
        <v>19.32</v>
      </c>
      <c r="F633" s="6">
        <f t="shared" si="1"/>
        <v>2</v>
      </c>
    </row>
    <row r="634" hidden="1">
      <c r="A634" s="5">
        <v>45215.0</v>
      </c>
      <c r="B634" s="1">
        <v>19.1</v>
      </c>
      <c r="C634" s="1">
        <v>19.57</v>
      </c>
      <c r="D634" s="1">
        <v>17.14</v>
      </c>
      <c r="E634" s="1">
        <v>17.21</v>
      </c>
      <c r="F634" s="6">
        <f t="shared" si="1"/>
        <v>3</v>
      </c>
    </row>
    <row r="635" hidden="1">
      <c r="A635" s="5">
        <v>45216.0</v>
      </c>
      <c r="B635" s="1">
        <v>17.41</v>
      </c>
      <c r="C635" s="1">
        <v>18.54</v>
      </c>
      <c r="D635" s="1">
        <v>16.97</v>
      </c>
      <c r="E635" s="1">
        <v>17.88</v>
      </c>
      <c r="F635" s="6">
        <f t="shared" si="1"/>
        <v>4</v>
      </c>
    </row>
    <row r="636">
      <c r="A636" s="5">
        <v>45217.0</v>
      </c>
      <c r="B636" s="1">
        <v>18.36</v>
      </c>
      <c r="C636" s="1">
        <v>20.15</v>
      </c>
      <c r="D636" s="1">
        <v>17.88</v>
      </c>
      <c r="E636" s="1">
        <v>19.22</v>
      </c>
      <c r="F636" s="6">
        <f t="shared" si="1"/>
        <v>0</v>
      </c>
    </row>
    <row r="637" hidden="1">
      <c r="A637" s="5">
        <v>45218.0</v>
      </c>
      <c r="B637" s="1">
        <v>19.73</v>
      </c>
      <c r="C637" s="1">
        <v>21.4</v>
      </c>
      <c r="D637" s="1">
        <v>18.55</v>
      </c>
      <c r="E637" s="1">
        <v>21.4</v>
      </c>
      <c r="F637" s="6">
        <f t="shared" si="1"/>
        <v>1</v>
      </c>
    </row>
    <row r="638" hidden="1">
      <c r="A638" s="5">
        <v>45219.0</v>
      </c>
      <c r="B638" s="1">
        <v>21.59</v>
      </c>
      <c r="C638" s="1">
        <v>21.83</v>
      </c>
      <c r="D638" s="1">
        <v>20.42</v>
      </c>
      <c r="E638" s="1">
        <v>21.71</v>
      </c>
      <c r="F638" s="6">
        <f t="shared" si="1"/>
        <v>2</v>
      </c>
    </row>
    <row r="639" hidden="1">
      <c r="A639" s="5">
        <v>45222.0</v>
      </c>
      <c r="B639" s="1">
        <v>21.83</v>
      </c>
      <c r="C639" s="1">
        <v>23.08</v>
      </c>
      <c r="D639" s="1">
        <v>19.48</v>
      </c>
      <c r="E639" s="1">
        <v>20.37</v>
      </c>
      <c r="F639" s="6">
        <f t="shared" si="1"/>
        <v>3</v>
      </c>
    </row>
    <row r="640" hidden="1">
      <c r="A640" s="5">
        <v>45223.0</v>
      </c>
      <c r="B640" s="1">
        <v>20.03</v>
      </c>
      <c r="C640" s="1">
        <v>20.24</v>
      </c>
      <c r="D640" s="1">
        <v>18.65</v>
      </c>
      <c r="E640" s="1">
        <v>18.97</v>
      </c>
      <c r="F640" s="6">
        <f t="shared" si="1"/>
        <v>4</v>
      </c>
    </row>
    <row r="641">
      <c r="A641" s="5">
        <v>45224.0</v>
      </c>
      <c r="B641" s="1">
        <v>19.39</v>
      </c>
      <c r="C641" s="1">
        <v>21.24</v>
      </c>
      <c r="D641" s="1">
        <v>18.86</v>
      </c>
      <c r="E641" s="1">
        <v>20.19</v>
      </c>
      <c r="F641" s="6">
        <f t="shared" si="1"/>
        <v>0</v>
      </c>
    </row>
    <row r="642" hidden="1">
      <c r="A642" s="5">
        <v>45225.0</v>
      </c>
      <c r="B642" s="1">
        <v>21.78</v>
      </c>
      <c r="C642" s="1">
        <v>21.96</v>
      </c>
      <c r="D642" s="1">
        <v>20.22</v>
      </c>
      <c r="E642" s="1">
        <v>20.68</v>
      </c>
      <c r="F642" s="6">
        <f t="shared" si="1"/>
        <v>1</v>
      </c>
    </row>
    <row r="643" hidden="1">
      <c r="A643" s="5">
        <v>45226.0</v>
      </c>
      <c r="B643" s="1">
        <v>20.39</v>
      </c>
      <c r="C643" s="1">
        <v>22.07</v>
      </c>
      <c r="D643" s="1">
        <v>19.72</v>
      </c>
      <c r="E643" s="1">
        <v>21.27</v>
      </c>
      <c r="F643" s="6">
        <f t="shared" si="1"/>
        <v>2</v>
      </c>
    </row>
    <row r="644" hidden="1">
      <c r="A644" s="5">
        <v>45229.0</v>
      </c>
      <c r="B644" s="1">
        <v>21.13</v>
      </c>
      <c r="C644" s="1">
        <v>21.16</v>
      </c>
      <c r="D644" s="1">
        <v>19.55</v>
      </c>
      <c r="E644" s="1">
        <v>19.75</v>
      </c>
      <c r="F644" s="6">
        <f t="shared" si="1"/>
        <v>3</v>
      </c>
    </row>
    <row r="645" hidden="1">
      <c r="A645" s="5">
        <v>45230.0</v>
      </c>
      <c r="B645" s="1">
        <v>19.86</v>
      </c>
      <c r="C645" s="1">
        <v>19.86</v>
      </c>
      <c r="D645" s="1">
        <v>17.97</v>
      </c>
      <c r="E645" s="1">
        <v>18.14</v>
      </c>
      <c r="F645" s="6">
        <f t="shared" si="1"/>
        <v>4</v>
      </c>
    </row>
    <row r="646">
      <c r="A646" s="2">
        <v>45231.0</v>
      </c>
      <c r="B646" s="1">
        <v>18.02</v>
      </c>
      <c r="C646" s="1">
        <v>18.42</v>
      </c>
      <c r="D646" s="1">
        <v>16.63</v>
      </c>
      <c r="E646" s="1">
        <v>16.87</v>
      </c>
      <c r="F646" s="6">
        <f t="shared" si="1"/>
        <v>0</v>
      </c>
    </row>
    <row r="647" hidden="1">
      <c r="A647" s="2">
        <v>45232.0</v>
      </c>
      <c r="B647" s="1">
        <v>16.59</v>
      </c>
      <c r="C647" s="1">
        <v>16.62</v>
      </c>
      <c r="D647" s="1">
        <v>15.58</v>
      </c>
      <c r="E647" s="1">
        <v>15.66</v>
      </c>
      <c r="F647" s="6">
        <f t="shared" si="1"/>
        <v>1</v>
      </c>
    </row>
    <row r="648" hidden="1">
      <c r="A648" s="2">
        <v>45233.0</v>
      </c>
      <c r="B648" s="1">
        <v>15.7</v>
      </c>
      <c r="C648" s="1">
        <v>15.83</v>
      </c>
      <c r="D648" s="1">
        <v>14.91</v>
      </c>
      <c r="E648" s="1">
        <v>14.91</v>
      </c>
      <c r="F648" s="6">
        <f t="shared" si="1"/>
        <v>2</v>
      </c>
    </row>
    <row r="649" hidden="1">
      <c r="A649" s="2">
        <v>45236.0</v>
      </c>
      <c r="B649" s="1">
        <v>15.39</v>
      </c>
      <c r="C649" s="1">
        <v>15.58</v>
      </c>
      <c r="D649" s="1">
        <v>14.84</v>
      </c>
      <c r="E649" s="1">
        <v>14.89</v>
      </c>
      <c r="F649" s="6">
        <f t="shared" si="1"/>
        <v>3</v>
      </c>
    </row>
    <row r="650" hidden="1">
      <c r="A650" s="2">
        <v>45237.0</v>
      </c>
      <c r="B650" s="1">
        <v>15.1</v>
      </c>
      <c r="C650" s="1">
        <v>15.17</v>
      </c>
      <c r="D650" s="1">
        <v>14.71</v>
      </c>
      <c r="E650" s="1">
        <v>14.81</v>
      </c>
      <c r="F650" s="6">
        <f t="shared" si="1"/>
        <v>4</v>
      </c>
    </row>
    <row r="651">
      <c r="A651" s="2">
        <v>45238.0</v>
      </c>
      <c r="B651" s="1">
        <v>14.91</v>
      </c>
      <c r="C651" s="1">
        <v>15.09</v>
      </c>
      <c r="D651" s="1">
        <v>14.3</v>
      </c>
      <c r="E651" s="1">
        <v>14.45</v>
      </c>
      <c r="F651" s="6">
        <f t="shared" si="1"/>
        <v>0</v>
      </c>
    </row>
    <row r="652" hidden="1">
      <c r="A652" s="2">
        <v>45239.0</v>
      </c>
      <c r="B652" s="1">
        <v>14.61</v>
      </c>
      <c r="C652" s="1">
        <v>15.57</v>
      </c>
      <c r="D652" s="1">
        <v>14.13</v>
      </c>
      <c r="E652" s="1">
        <v>15.29</v>
      </c>
      <c r="F652" s="6">
        <f t="shared" si="1"/>
        <v>1</v>
      </c>
    </row>
    <row r="653" hidden="1">
      <c r="A653" s="5">
        <v>45240.0</v>
      </c>
      <c r="B653" s="1">
        <v>15.09</v>
      </c>
      <c r="C653" s="1">
        <v>15.45</v>
      </c>
      <c r="D653" s="1">
        <v>14.16</v>
      </c>
      <c r="E653" s="1">
        <v>14.17</v>
      </c>
      <c r="F653" s="6">
        <f t="shared" si="1"/>
        <v>2</v>
      </c>
    </row>
    <row r="654" hidden="1">
      <c r="A654" s="5">
        <v>45243.0</v>
      </c>
      <c r="B654" s="1">
        <v>15.16</v>
      </c>
      <c r="C654" s="1">
        <v>15.19</v>
      </c>
      <c r="D654" s="1">
        <v>14.58</v>
      </c>
      <c r="E654" s="1">
        <v>14.76</v>
      </c>
      <c r="F654" s="6">
        <f t="shared" si="1"/>
        <v>3</v>
      </c>
    </row>
    <row r="655" hidden="1">
      <c r="A655" s="5">
        <v>45244.0</v>
      </c>
      <c r="B655" s="1">
        <v>14.83</v>
      </c>
      <c r="C655" s="1">
        <v>14.86</v>
      </c>
      <c r="D655" s="1">
        <v>13.91</v>
      </c>
      <c r="E655" s="1">
        <v>14.16</v>
      </c>
      <c r="F655" s="6">
        <f t="shared" si="1"/>
        <v>4</v>
      </c>
    </row>
    <row r="656">
      <c r="A656" s="5">
        <v>45245.0</v>
      </c>
      <c r="B656" s="1">
        <v>14.21</v>
      </c>
      <c r="C656" s="1">
        <v>14.35</v>
      </c>
      <c r="D656" s="1">
        <v>13.97</v>
      </c>
      <c r="E656" s="1">
        <v>14.18</v>
      </c>
      <c r="F656" s="6">
        <f t="shared" si="1"/>
        <v>0</v>
      </c>
    </row>
    <row r="657" hidden="1">
      <c r="A657" s="5">
        <v>45246.0</v>
      </c>
      <c r="B657" s="1">
        <v>14.12</v>
      </c>
      <c r="C657" s="1">
        <v>14.42</v>
      </c>
      <c r="D657" s="1">
        <v>13.68</v>
      </c>
      <c r="E657" s="1">
        <v>14.32</v>
      </c>
      <c r="F657" s="6">
        <f t="shared" si="1"/>
        <v>1</v>
      </c>
    </row>
    <row r="658" hidden="1">
      <c r="A658" s="5">
        <v>45247.0</v>
      </c>
      <c r="B658" s="1">
        <v>14.18</v>
      </c>
      <c r="C658" s="1">
        <v>14.19</v>
      </c>
      <c r="D658" s="1">
        <v>13.67</v>
      </c>
      <c r="E658" s="1">
        <v>13.8</v>
      </c>
      <c r="F658" s="6">
        <f t="shared" si="1"/>
        <v>2</v>
      </c>
    </row>
    <row r="659" hidden="1">
      <c r="A659" s="5">
        <v>45250.0</v>
      </c>
      <c r="B659" s="1">
        <v>14.26</v>
      </c>
      <c r="C659" s="1">
        <v>14.31</v>
      </c>
      <c r="D659" s="1">
        <v>13.39</v>
      </c>
      <c r="E659" s="1">
        <v>13.41</v>
      </c>
      <c r="F659" s="6">
        <f t="shared" si="1"/>
        <v>3</v>
      </c>
    </row>
    <row r="660" hidden="1">
      <c r="A660" s="5">
        <v>45251.0</v>
      </c>
      <c r="B660" s="1">
        <v>13.45</v>
      </c>
      <c r="C660" s="1">
        <v>14.31</v>
      </c>
      <c r="D660" s="1">
        <v>13.13</v>
      </c>
      <c r="E660" s="1">
        <v>13.35</v>
      </c>
      <c r="F660" s="6">
        <f t="shared" si="1"/>
        <v>4</v>
      </c>
    </row>
    <row r="661">
      <c r="A661" s="5">
        <v>45252.0</v>
      </c>
      <c r="B661" s="1">
        <v>13.08</v>
      </c>
      <c r="C661" s="1">
        <v>13.25</v>
      </c>
      <c r="D661" s="1">
        <v>12.82</v>
      </c>
      <c r="E661" s="1">
        <v>12.85</v>
      </c>
      <c r="F661" s="6">
        <f t="shared" si="1"/>
        <v>0</v>
      </c>
    </row>
    <row r="662" hidden="1">
      <c r="A662" s="5">
        <v>45253.0</v>
      </c>
      <c r="B662" s="1">
        <v>12.84</v>
      </c>
      <c r="C662" s="1">
        <v>12.87</v>
      </c>
      <c r="D662" s="1">
        <v>12.75</v>
      </c>
      <c r="E662" s="1">
        <v>12.8</v>
      </c>
      <c r="F662" s="6">
        <f t="shared" si="1"/>
        <v>1</v>
      </c>
    </row>
    <row r="663" hidden="1">
      <c r="A663" s="5">
        <v>45254.0</v>
      </c>
      <c r="B663" s="1">
        <v>13.03</v>
      </c>
      <c r="C663" s="1">
        <v>13.17</v>
      </c>
      <c r="D663" s="1">
        <v>12.45</v>
      </c>
      <c r="E663" s="1">
        <v>12.46</v>
      </c>
      <c r="F663" s="6">
        <f t="shared" si="1"/>
        <v>2</v>
      </c>
    </row>
    <row r="664" hidden="1">
      <c r="A664" s="5">
        <v>45257.0</v>
      </c>
      <c r="B664" s="1">
        <v>13.14</v>
      </c>
      <c r="C664" s="1">
        <v>13.28</v>
      </c>
      <c r="D664" s="1">
        <v>12.64</v>
      </c>
      <c r="E664" s="1">
        <v>12.69</v>
      </c>
      <c r="F664" s="6">
        <f t="shared" si="1"/>
        <v>3</v>
      </c>
    </row>
    <row r="665" hidden="1">
      <c r="A665" s="5">
        <v>45258.0</v>
      </c>
      <c r="B665" s="1">
        <v>12.78</v>
      </c>
      <c r="C665" s="1">
        <v>14.3</v>
      </c>
      <c r="D665" s="1">
        <v>12.56</v>
      </c>
      <c r="E665" s="1">
        <v>12.69</v>
      </c>
      <c r="F665" s="6">
        <f t="shared" si="1"/>
        <v>4</v>
      </c>
    </row>
    <row r="666">
      <c r="A666" s="5">
        <v>45259.0</v>
      </c>
      <c r="B666" s="1">
        <v>12.71</v>
      </c>
      <c r="C666" s="1">
        <v>13.1</v>
      </c>
      <c r="D666" s="1">
        <v>12.48</v>
      </c>
      <c r="E666" s="1">
        <v>12.98</v>
      </c>
      <c r="F666" s="6">
        <f t="shared" si="1"/>
        <v>0</v>
      </c>
    </row>
    <row r="667" hidden="1">
      <c r="A667" s="5">
        <v>45260.0</v>
      </c>
      <c r="B667" s="1">
        <v>13.07</v>
      </c>
      <c r="C667" s="1">
        <v>13.39</v>
      </c>
      <c r="D667" s="1">
        <v>12.82</v>
      </c>
      <c r="E667" s="1">
        <v>12.92</v>
      </c>
      <c r="F667" s="6">
        <f t="shared" si="1"/>
        <v>1</v>
      </c>
    </row>
    <row r="668" hidden="1">
      <c r="A668" s="2">
        <v>45261.0</v>
      </c>
      <c r="B668" s="1">
        <v>12.94</v>
      </c>
      <c r="C668" s="1">
        <v>12.96</v>
      </c>
      <c r="D668" s="1">
        <v>12.48</v>
      </c>
      <c r="E668" s="1">
        <v>12.63</v>
      </c>
      <c r="F668" s="6">
        <f t="shared" si="1"/>
        <v>2</v>
      </c>
    </row>
    <row r="669" hidden="1">
      <c r="A669" s="2">
        <v>45264.0</v>
      </c>
      <c r="B669" s="1">
        <v>13.28</v>
      </c>
      <c r="C669" s="1">
        <v>13.7</v>
      </c>
      <c r="D669" s="1">
        <v>12.98</v>
      </c>
      <c r="E669" s="1">
        <v>13.08</v>
      </c>
      <c r="F669" s="6">
        <f t="shared" si="1"/>
        <v>3</v>
      </c>
    </row>
    <row r="670" hidden="1">
      <c r="A670" s="2">
        <v>45265.0</v>
      </c>
      <c r="B670" s="1">
        <v>13.26</v>
      </c>
      <c r="C670" s="1">
        <v>13.76</v>
      </c>
      <c r="D670" s="1">
        <v>12.81</v>
      </c>
      <c r="E670" s="1">
        <v>12.85</v>
      </c>
      <c r="F670" s="6">
        <f t="shared" si="1"/>
        <v>4</v>
      </c>
    </row>
    <row r="671">
      <c r="A671" s="2">
        <v>45266.0</v>
      </c>
      <c r="B671" s="1">
        <v>12.78</v>
      </c>
      <c r="C671" s="1">
        <v>13.03</v>
      </c>
      <c r="D671" s="1">
        <v>12.64</v>
      </c>
      <c r="E671" s="1">
        <v>12.97</v>
      </c>
      <c r="F671" s="6">
        <f t="shared" si="1"/>
        <v>0</v>
      </c>
    </row>
    <row r="672" hidden="1">
      <c r="A672" s="2">
        <v>45267.0</v>
      </c>
      <c r="B672" s="1">
        <v>13.17</v>
      </c>
      <c r="C672" s="1">
        <v>13.28</v>
      </c>
      <c r="D672" s="1">
        <v>12.95</v>
      </c>
      <c r="E672" s="1">
        <v>13.06</v>
      </c>
      <c r="F672" s="6">
        <f t="shared" si="1"/>
        <v>1</v>
      </c>
    </row>
    <row r="673" hidden="1">
      <c r="A673" s="2">
        <v>45268.0</v>
      </c>
      <c r="B673" s="1">
        <v>13.14</v>
      </c>
      <c r="C673" s="1">
        <v>13.24</v>
      </c>
      <c r="D673" s="1">
        <v>12.35</v>
      </c>
      <c r="E673" s="1">
        <v>12.35</v>
      </c>
      <c r="F673" s="6">
        <f t="shared" si="1"/>
        <v>2</v>
      </c>
    </row>
    <row r="674" hidden="1">
      <c r="A674" s="5">
        <v>45271.0</v>
      </c>
      <c r="B674" s="1">
        <v>13.05</v>
      </c>
      <c r="C674" s="1">
        <v>13.14</v>
      </c>
      <c r="D674" s="1">
        <v>12.61</v>
      </c>
      <c r="E674" s="1">
        <v>12.63</v>
      </c>
      <c r="F674" s="6">
        <f t="shared" si="1"/>
        <v>3</v>
      </c>
    </row>
    <row r="675" hidden="1">
      <c r="A675" s="5">
        <v>45272.0</v>
      </c>
      <c r="B675" s="1">
        <v>12.69</v>
      </c>
      <c r="C675" s="1">
        <v>12.74</v>
      </c>
      <c r="D675" s="1">
        <v>11.81</v>
      </c>
      <c r="E675" s="1">
        <v>12.07</v>
      </c>
      <c r="F675" s="6">
        <f t="shared" si="1"/>
        <v>4</v>
      </c>
    </row>
    <row r="676">
      <c r="A676" s="5">
        <v>45273.0</v>
      </c>
      <c r="B676" s="1">
        <v>12.2</v>
      </c>
      <c r="C676" s="1">
        <v>12.46</v>
      </c>
      <c r="D676" s="1">
        <v>11.82</v>
      </c>
      <c r="E676" s="1">
        <v>12.19</v>
      </c>
      <c r="F676" s="6">
        <f t="shared" si="1"/>
        <v>0</v>
      </c>
    </row>
    <row r="677" hidden="1">
      <c r="A677" s="5">
        <v>45274.0</v>
      </c>
      <c r="B677" s="1">
        <v>11.96</v>
      </c>
      <c r="C677" s="1">
        <v>12.74</v>
      </c>
      <c r="D677" s="1">
        <v>11.84</v>
      </c>
      <c r="E677" s="1">
        <v>12.48</v>
      </c>
      <c r="F677" s="6">
        <f t="shared" si="1"/>
        <v>1</v>
      </c>
    </row>
    <row r="678" hidden="1">
      <c r="A678" s="5">
        <v>45275.0</v>
      </c>
      <c r="B678" s="1">
        <v>12.12</v>
      </c>
      <c r="C678" s="1">
        <v>12.54</v>
      </c>
      <c r="D678" s="1">
        <v>12.01</v>
      </c>
      <c r="E678" s="1">
        <v>12.28</v>
      </c>
      <c r="F678" s="6">
        <f t="shared" si="1"/>
        <v>2</v>
      </c>
    </row>
    <row r="679" hidden="1">
      <c r="A679" s="5">
        <v>45278.0</v>
      </c>
      <c r="B679" s="1">
        <v>12.62</v>
      </c>
      <c r="C679" s="1">
        <v>12.64</v>
      </c>
      <c r="D679" s="1">
        <v>12.4</v>
      </c>
      <c r="E679" s="1">
        <v>12.56</v>
      </c>
      <c r="F679" s="6">
        <f t="shared" si="1"/>
        <v>3</v>
      </c>
    </row>
    <row r="680" hidden="1">
      <c r="A680" s="5">
        <v>45279.0</v>
      </c>
      <c r="B680" s="1">
        <v>12.6</v>
      </c>
      <c r="C680" s="1">
        <v>12.6</v>
      </c>
      <c r="D680" s="1">
        <v>12.33</v>
      </c>
      <c r="E680" s="1">
        <v>12.53</v>
      </c>
      <c r="F680" s="6">
        <f t="shared" si="1"/>
        <v>4</v>
      </c>
    </row>
    <row r="681">
      <c r="A681" s="5">
        <v>45280.0</v>
      </c>
      <c r="B681" s="1">
        <v>12.63</v>
      </c>
      <c r="C681" s="1">
        <v>13.93</v>
      </c>
      <c r="D681" s="1">
        <v>12.29</v>
      </c>
      <c r="E681" s="1">
        <v>13.67</v>
      </c>
      <c r="F681" s="6">
        <f t="shared" si="1"/>
        <v>0</v>
      </c>
    </row>
    <row r="682" hidden="1">
      <c r="A682" s="5">
        <v>45281.0</v>
      </c>
      <c r="B682" s="1">
        <v>13.4</v>
      </c>
      <c r="C682" s="1">
        <v>14.49</v>
      </c>
      <c r="D682" s="1">
        <v>13.34</v>
      </c>
      <c r="E682" s="1">
        <v>13.65</v>
      </c>
      <c r="F682" s="6">
        <f t="shared" si="1"/>
        <v>1</v>
      </c>
    </row>
    <row r="683" hidden="1">
      <c r="A683" s="5">
        <v>45282.0</v>
      </c>
      <c r="B683" s="1">
        <v>13.72</v>
      </c>
      <c r="C683" s="1">
        <v>13.96</v>
      </c>
      <c r="D683" s="1">
        <v>13.0</v>
      </c>
      <c r="E683" s="1">
        <v>13.03</v>
      </c>
      <c r="F683" s="6">
        <f t="shared" si="1"/>
        <v>2</v>
      </c>
    </row>
    <row r="684" hidden="1">
      <c r="A684" s="5">
        <v>45286.0</v>
      </c>
      <c r="B684" s="1">
        <v>13.77</v>
      </c>
      <c r="C684" s="1">
        <v>13.8</v>
      </c>
      <c r="D684" s="1">
        <v>12.96</v>
      </c>
      <c r="E684" s="1">
        <v>12.99</v>
      </c>
      <c r="F684" s="6">
        <f t="shared" si="1"/>
        <v>3</v>
      </c>
    </row>
    <row r="685" hidden="1">
      <c r="A685" s="5">
        <v>45287.0</v>
      </c>
      <c r="B685" s="1">
        <v>13.02</v>
      </c>
      <c r="C685" s="1">
        <v>13.04</v>
      </c>
      <c r="D685" s="1">
        <v>12.37</v>
      </c>
      <c r="E685" s="1">
        <v>12.43</v>
      </c>
      <c r="F685" s="6">
        <f t="shared" si="1"/>
        <v>4</v>
      </c>
    </row>
    <row r="686">
      <c r="A686" s="5">
        <v>45288.0</v>
      </c>
      <c r="B686" s="1">
        <v>12.44</v>
      </c>
      <c r="C686" s="1">
        <v>12.65</v>
      </c>
      <c r="D686" s="1">
        <v>12.38</v>
      </c>
      <c r="E686" s="1">
        <v>12.47</v>
      </c>
      <c r="F686" s="6">
        <f t="shared" si="1"/>
        <v>0</v>
      </c>
    </row>
    <row r="687" hidden="1">
      <c r="A687" s="5">
        <v>45289.0</v>
      </c>
      <c r="B687" s="1">
        <v>12.55</v>
      </c>
      <c r="C687" s="1">
        <v>13.19</v>
      </c>
      <c r="D687" s="1">
        <v>12.36</v>
      </c>
      <c r="E687" s="1">
        <v>12.45</v>
      </c>
      <c r="F687" s="6">
        <f t="shared" si="1"/>
        <v>1</v>
      </c>
    </row>
    <row r="688" hidden="1">
      <c r="A688" s="2">
        <v>45293.0</v>
      </c>
      <c r="B688" s="1">
        <v>13.22</v>
      </c>
      <c r="C688" s="1">
        <v>14.23</v>
      </c>
      <c r="D688" s="1">
        <v>13.1</v>
      </c>
      <c r="E688" s="1">
        <v>13.2</v>
      </c>
      <c r="F688" s="6">
        <f t="shared" si="1"/>
        <v>2</v>
      </c>
    </row>
    <row r="689" hidden="1">
      <c r="A689" s="2">
        <v>45294.0</v>
      </c>
      <c r="B689" s="1">
        <v>13.35</v>
      </c>
      <c r="C689" s="1">
        <v>14.22</v>
      </c>
      <c r="D689" s="1">
        <v>13.33</v>
      </c>
      <c r="E689" s="1">
        <v>14.04</v>
      </c>
      <c r="F689" s="6">
        <f t="shared" si="1"/>
        <v>3</v>
      </c>
    </row>
    <row r="690" hidden="1">
      <c r="A690" s="2">
        <v>45295.0</v>
      </c>
      <c r="B690" s="1">
        <v>13.93</v>
      </c>
      <c r="C690" s="1">
        <v>14.2</v>
      </c>
      <c r="D690" s="1">
        <v>13.64</v>
      </c>
      <c r="E690" s="1">
        <v>14.13</v>
      </c>
      <c r="F690" s="6">
        <f t="shared" si="1"/>
        <v>4</v>
      </c>
    </row>
    <row r="691">
      <c r="A691" s="2">
        <v>45296.0</v>
      </c>
      <c r="B691" s="1">
        <v>14.24</v>
      </c>
      <c r="C691" s="1">
        <v>14.58</v>
      </c>
      <c r="D691" s="1">
        <v>13.29</v>
      </c>
      <c r="E691" s="1">
        <v>13.35</v>
      </c>
      <c r="F691" s="6">
        <f t="shared" si="1"/>
        <v>0</v>
      </c>
    </row>
    <row r="692" hidden="1">
      <c r="A692" s="2">
        <v>45299.0</v>
      </c>
      <c r="B692" s="1">
        <v>14.0</v>
      </c>
      <c r="C692" s="1">
        <v>14.18</v>
      </c>
      <c r="D692" s="1">
        <v>13.02</v>
      </c>
      <c r="E692" s="1">
        <v>13.08</v>
      </c>
      <c r="F692" s="6">
        <f t="shared" si="1"/>
        <v>1</v>
      </c>
    </row>
    <row r="693" hidden="1">
      <c r="A693" s="2">
        <v>45300.0</v>
      </c>
      <c r="B693" s="1">
        <v>13.2</v>
      </c>
      <c r="C693" s="1">
        <v>13.45</v>
      </c>
      <c r="D693" s="1">
        <v>12.74</v>
      </c>
      <c r="E693" s="1">
        <v>12.76</v>
      </c>
      <c r="F693" s="6">
        <f t="shared" si="1"/>
        <v>2</v>
      </c>
    </row>
    <row r="694" hidden="1">
      <c r="A694" s="2">
        <v>45301.0</v>
      </c>
      <c r="B694" s="1">
        <v>12.86</v>
      </c>
      <c r="C694" s="1">
        <v>12.95</v>
      </c>
      <c r="D694" s="1">
        <v>12.67</v>
      </c>
      <c r="E694" s="1">
        <v>12.69</v>
      </c>
      <c r="F694" s="6">
        <f t="shared" si="1"/>
        <v>3</v>
      </c>
    </row>
    <row r="695" hidden="1">
      <c r="A695" s="2">
        <v>45302.0</v>
      </c>
      <c r="B695" s="1">
        <v>12.64</v>
      </c>
      <c r="C695" s="1">
        <v>13.31</v>
      </c>
      <c r="D695" s="1">
        <v>12.35</v>
      </c>
      <c r="E695" s="1">
        <v>12.44</v>
      </c>
      <c r="F695" s="6">
        <f t="shared" si="1"/>
        <v>4</v>
      </c>
    </row>
    <row r="696">
      <c r="A696" s="2">
        <v>45303.0</v>
      </c>
      <c r="B696" s="1">
        <v>12.66</v>
      </c>
      <c r="C696" s="1">
        <v>13.08</v>
      </c>
      <c r="D696" s="1">
        <v>12.47</v>
      </c>
      <c r="E696" s="1">
        <v>12.7</v>
      </c>
      <c r="F696" s="6">
        <f t="shared" si="1"/>
        <v>0</v>
      </c>
    </row>
    <row r="697" hidden="1">
      <c r="A697" s="2">
        <v>45306.0</v>
      </c>
      <c r="B697" s="1">
        <v>13.23</v>
      </c>
      <c r="C697" s="1">
        <v>13.34</v>
      </c>
      <c r="D697" s="1">
        <v>13.2</v>
      </c>
      <c r="E697" s="1">
        <v>13.25</v>
      </c>
      <c r="F697" s="6">
        <f t="shared" si="1"/>
        <v>1</v>
      </c>
    </row>
    <row r="698" hidden="1">
      <c r="A698" s="2">
        <v>45307.0</v>
      </c>
      <c r="B698" s="1">
        <v>14.12</v>
      </c>
      <c r="C698" s="1">
        <v>14.35</v>
      </c>
      <c r="D698" s="1">
        <v>13.52</v>
      </c>
      <c r="E698" s="1">
        <v>13.84</v>
      </c>
      <c r="F698" s="6">
        <f t="shared" si="1"/>
        <v>2</v>
      </c>
    </row>
    <row r="699" hidden="1">
      <c r="A699" s="2">
        <v>45308.0</v>
      </c>
      <c r="B699" s="1">
        <v>14.59</v>
      </c>
      <c r="C699" s="1">
        <v>15.4</v>
      </c>
      <c r="D699" s="1">
        <v>14.38</v>
      </c>
      <c r="E699" s="1">
        <v>14.79</v>
      </c>
      <c r="F699" s="6">
        <f t="shared" si="1"/>
        <v>3</v>
      </c>
    </row>
    <row r="700" hidden="1">
      <c r="A700" s="2">
        <v>45309.0</v>
      </c>
      <c r="B700" s="1">
        <v>14.85</v>
      </c>
      <c r="C700" s="1">
        <v>14.89</v>
      </c>
      <c r="D700" s="1">
        <v>13.89</v>
      </c>
      <c r="E700" s="1">
        <v>14.13</v>
      </c>
      <c r="F700" s="6">
        <f t="shared" si="1"/>
        <v>4</v>
      </c>
    </row>
    <row r="701">
      <c r="A701" s="2">
        <v>45310.0</v>
      </c>
      <c r="B701" s="1">
        <v>13.8</v>
      </c>
      <c r="C701" s="1">
        <v>14.58</v>
      </c>
      <c r="D701" s="1">
        <v>13.28</v>
      </c>
      <c r="E701" s="1">
        <v>13.3</v>
      </c>
      <c r="F701" s="6">
        <f t="shared" si="1"/>
        <v>0</v>
      </c>
    </row>
    <row r="702" hidden="1">
      <c r="A702" s="2">
        <v>45313.0</v>
      </c>
      <c r="B702" s="1">
        <v>13.77</v>
      </c>
      <c r="C702" s="1">
        <v>13.84</v>
      </c>
      <c r="D702" s="1">
        <v>13.17</v>
      </c>
      <c r="E702" s="1">
        <v>13.19</v>
      </c>
      <c r="F702" s="6">
        <f t="shared" si="1"/>
        <v>1</v>
      </c>
    </row>
    <row r="703" hidden="1">
      <c r="A703" s="2">
        <v>45314.0</v>
      </c>
      <c r="B703" s="1">
        <v>13.2</v>
      </c>
      <c r="C703" s="1">
        <v>13.29</v>
      </c>
      <c r="D703" s="1">
        <v>12.53</v>
      </c>
      <c r="E703" s="1">
        <v>12.55</v>
      </c>
      <c r="F703" s="6">
        <f t="shared" si="1"/>
        <v>2</v>
      </c>
    </row>
    <row r="704" hidden="1">
      <c r="A704" s="2">
        <v>45315.0</v>
      </c>
      <c r="B704" s="1">
        <v>12.66</v>
      </c>
      <c r="C704" s="1">
        <v>13.18</v>
      </c>
      <c r="D704" s="1">
        <v>12.41</v>
      </c>
      <c r="E704" s="1">
        <v>13.14</v>
      </c>
      <c r="F704" s="6">
        <f t="shared" si="1"/>
        <v>3</v>
      </c>
    </row>
    <row r="705" hidden="1">
      <c r="A705" s="2">
        <v>45316.0</v>
      </c>
      <c r="B705" s="1">
        <v>13.18</v>
      </c>
      <c r="C705" s="1">
        <v>13.58</v>
      </c>
      <c r="D705" s="1">
        <v>13.06</v>
      </c>
      <c r="E705" s="1">
        <v>13.45</v>
      </c>
      <c r="F705" s="6">
        <f t="shared" si="1"/>
        <v>4</v>
      </c>
    </row>
    <row r="706">
      <c r="A706" s="2">
        <v>45317.0</v>
      </c>
      <c r="B706" s="1">
        <v>13.73</v>
      </c>
      <c r="C706" s="1">
        <v>14.1</v>
      </c>
      <c r="D706" s="1">
        <v>13.2</v>
      </c>
      <c r="E706" s="1">
        <v>13.26</v>
      </c>
      <c r="F706" s="6">
        <f t="shared" si="1"/>
        <v>0</v>
      </c>
    </row>
    <row r="707" hidden="1">
      <c r="A707" s="2">
        <v>45320.0</v>
      </c>
      <c r="B707" s="1">
        <v>13.98</v>
      </c>
      <c r="C707" s="1">
        <v>15.35</v>
      </c>
      <c r="D707" s="1">
        <v>13.59</v>
      </c>
      <c r="E707" s="1">
        <v>13.6</v>
      </c>
      <c r="F707" s="6">
        <f t="shared" si="1"/>
        <v>1</v>
      </c>
    </row>
    <row r="708" hidden="1">
      <c r="A708" s="2">
        <v>45321.0</v>
      </c>
      <c r="B708" s="1">
        <v>13.69</v>
      </c>
      <c r="C708" s="1">
        <v>13.74</v>
      </c>
      <c r="D708" s="1">
        <v>13.23</v>
      </c>
      <c r="E708" s="1">
        <v>13.31</v>
      </c>
      <c r="F708" s="6">
        <f t="shared" si="1"/>
        <v>2</v>
      </c>
    </row>
    <row r="709" hidden="1">
      <c r="A709" s="2">
        <v>45322.0</v>
      </c>
      <c r="B709" s="1">
        <v>13.42</v>
      </c>
      <c r="C709" s="1">
        <v>14.61</v>
      </c>
      <c r="D709" s="1">
        <v>13.18</v>
      </c>
      <c r="E709" s="1">
        <v>14.35</v>
      </c>
      <c r="F709" s="6">
        <f t="shared" si="1"/>
        <v>3</v>
      </c>
    </row>
    <row r="710" hidden="1">
      <c r="A710" s="2">
        <v>45323.0</v>
      </c>
      <c r="B710" s="1">
        <v>14.21</v>
      </c>
      <c r="C710" s="1">
        <v>14.63</v>
      </c>
      <c r="D710" s="1">
        <v>13.87</v>
      </c>
      <c r="E710" s="1">
        <v>13.88</v>
      </c>
      <c r="F710" s="6">
        <f t="shared" si="1"/>
        <v>4</v>
      </c>
    </row>
    <row r="711">
      <c r="A711" s="2">
        <v>45324.0</v>
      </c>
      <c r="B711" s="1">
        <v>13.95</v>
      </c>
      <c r="C711" s="1">
        <v>14.23</v>
      </c>
      <c r="D711" s="1">
        <v>13.39</v>
      </c>
      <c r="E711" s="1">
        <v>13.85</v>
      </c>
      <c r="F711" s="6">
        <f t="shared" si="1"/>
        <v>0</v>
      </c>
    </row>
    <row r="712" hidden="1">
      <c r="A712" s="2">
        <v>45327.0</v>
      </c>
      <c r="B712" s="1">
        <v>14.37</v>
      </c>
      <c r="C712" s="1">
        <v>14.53</v>
      </c>
      <c r="D712" s="1">
        <v>13.58</v>
      </c>
      <c r="E712" s="1">
        <v>13.67</v>
      </c>
      <c r="F712" s="6">
        <f t="shared" si="1"/>
        <v>1</v>
      </c>
    </row>
    <row r="713" hidden="1">
      <c r="A713" s="2">
        <v>45328.0</v>
      </c>
      <c r="B713" s="1">
        <v>13.57</v>
      </c>
      <c r="C713" s="1">
        <v>13.78</v>
      </c>
      <c r="D713" s="1">
        <v>12.98</v>
      </c>
      <c r="E713" s="1">
        <v>13.06</v>
      </c>
      <c r="F713" s="6">
        <f t="shared" si="1"/>
        <v>2</v>
      </c>
    </row>
    <row r="714" hidden="1">
      <c r="A714" s="2">
        <v>45329.0</v>
      </c>
      <c r="B714" s="1">
        <v>13.06</v>
      </c>
      <c r="C714" s="1">
        <v>13.13</v>
      </c>
      <c r="D714" s="1">
        <v>12.81</v>
      </c>
      <c r="E714" s="1">
        <v>12.83</v>
      </c>
      <c r="F714" s="6">
        <f t="shared" si="1"/>
        <v>3</v>
      </c>
    </row>
    <row r="715" hidden="1">
      <c r="A715" s="2">
        <v>45330.0</v>
      </c>
      <c r="B715" s="1">
        <v>12.95</v>
      </c>
      <c r="C715" s="1">
        <v>13.17</v>
      </c>
      <c r="D715" s="1">
        <v>12.74</v>
      </c>
      <c r="E715" s="1">
        <v>12.79</v>
      </c>
      <c r="F715" s="6">
        <f t="shared" si="1"/>
        <v>4</v>
      </c>
    </row>
    <row r="716">
      <c r="A716" s="2">
        <v>45331.0</v>
      </c>
      <c r="B716" s="1">
        <v>12.79</v>
      </c>
      <c r="C716" s="1">
        <v>13.01</v>
      </c>
      <c r="D716" s="1">
        <v>12.69</v>
      </c>
      <c r="E716" s="1">
        <v>12.93</v>
      </c>
      <c r="F716" s="6">
        <f t="shared" si="1"/>
        <v>0</v>
      </c>
    </row>
    <row r="717" hidden="1">
      <c r="A717" s="2">
        <v>45334.0</v>
      </c>
      <c r="B717" s="1">
        <v>13.48</v>
      </c>
      <c r="C717" s="1">
        <v>13.94</v>
      </c>
      <c r="D717" s="1">
        <v>13.34</v>
      </c>
      <c r="E717" s="1">
        <v>13.93</v>
      </c>
      <c r="F717" s="6">
        <f t="shared" si="1"/>
        <v>1</v>
      </c>
    </row>
    <row r="718" hidden="1">
      <c r="A718" s="2">
        <v>45335.0</v>
      </c>
      <c r="B718" s="1">
        <v>13.96</v>
      </c>
      <c r="C718" s="1">
        <v>17.94</v>
      </c>
      <c r="D718" s="1">
        <v>13.43</v>
      </c>
      <c r="E718" s="1">
        <v>15.85</v>
      </c>
      <c r="F718" s="6">
        <f t="shared" si="1"/>
        <v>2</v>
      </c>
    </row>
    <row r="719" hidden="1">
      <c r="A719" s="2">
        <v>45336.0</v>
      </c>
      <c r="B719" s="1">
        <v>15.38</v>
      </c>
      <c r="C719" s="1">
        <v>15.47</v>
      </c>
      <c r="D719" s="1">
        <v>14.22</v>
      </c>
      <c r="E719" s="1">
        <v>14.38</v>
      </c>
      <c r="F719" s="6">
        <f t="shared" si="1"/>
        <v>3</v>
      </c>
    </row>
    <row r="720" hidden="1">
      <c r="A720" s="2">
        <v>45337.0</v>
      </c>
      <c r="B720" s="1">
        <v>14.27</v>
      </c>
      <c r="C720" s="1">
        <v>14.64</v>
      </c>
      <c r="D720" s="1">
        <v>13.94</v>
      </c>
      <c r="E720" s="1">
        <v>14.01</v>
      </c>
      <c r="F720" s="6">
        <f t="shared" si="1"/>
        <v>4</v>
      </c>
    </row>
    <row r="721">
      <c r="A721" s="2">
        <v>45338.0</v>
      </c>
      <c r="B721" s="1">
        <v>13.94</v>
      </c>
      <c r="C721" s="1">
        <v>14.71</v>
      </c>
      <c r="D721" s="1">
        <v>13.75</v>
      </c>
      <c r="E721" s="1">
        <v>14.24</v>
      </c>
      <c r="F721" s="6">
        <f t="shared" si="1"/>
        <v>0</v>
      </c>
    </row>
    <row r="722" hidden="1">
      <c r="A722" s="2">
        <v>45341.0</v>
      </c>
      <c r="B722" s="1">
        <v>14.72</v>
      </c>
      <c r="C722" s="1">
        <v>14.78</v>
      </c>
      <c r="D722" s="1">
        <v>14.65</v>
      </c>
      <c r="E722" s="1">
        <v>14.71</v>
      </c>
      <c r="F722" s="6">
        <f t="shared" si="1"/>
        <v>1</v>
      </c>
    </row>
    <row r="723" hidden="1">
      <c r="A723" s="2">
        <v>45342.0</v>
      </c>
      <c r="B723" s="1">
        <v>15.09</v>
      </c>
      <c r="C723" s="1">
        <v>15.91</v>
      </c>
      <c r="D723" s="1">
        <v>15.07</v>
      </c>
      <c r="E723" s="1">
        <v>15.42</v>
      </c>
      <c r="F723" s="6">
        <f t="shared" si="1"/>
        <v>2</v>
      </c>
    </row>
    <row r="724" hidden="1">
      <c r="A724" s="2">
        <v>45343.0</v>
      </c>
      <c r="B724" s="1">
        <v>15.54</v>
      </c>
      <c r="C724" s="1">
        <v>16.12</v>
      </c>
      <c r="D724" s="1">
        <v>15.22</v>
      </c>
      <c r="E724" s="1">
        <v>15.34</v>
      </c>
      <c r="F724" s="6">
        <f t="shared" si="1"/>
        <v>3</v>
      </c>
    </row>
    <row r="725" hidden="1">
      <c r="A725" s="2">
        <v>45344.0</v>
      </c>
      <c r="B725" s="1">
        <v>14.28</v>
      </c>
      <c r="C725" s="1">
        <v>14.64</v>
      </c>
      <c r="D725" s="1">
        <v>14.12</v>
      </c>
      <c r="E725" s="1">
        <v>14.54</v>
      </c>
      <c r="F725" s="6">
        <f t="shared" si="1"/>
        <v>4</v>
      </c>
    </row>
    <row r="726">
      <c r="A726" s="2">
        <v>45345.0</v>
      </c>
      <c r="B726" s="1">
        <v>14.31</v>
      </c>
      <c r="C726" s="1">
        <v>14.31</v>
      </c>
      <c r="D726" s="1">
        <v>13.64</v>
      </c>
      <c r="E726" s="1">
        <v>13.75</v>
      </c>
      <c r="F726" s="6">
        <f t="shared" si="1"/>
        <v>0</v>
      </c>
    </row>
    <row r="727" hidden="1">
      <c r="A727" s="2">
        <v>45348.0</v>
      </c>
      <c r="B727" s="1">
        <v>14.17</v>
      </c>
      <c r="C727" s="1">
        <v>14.2</v>
      </c>
      <c r="D727" s="1">
        <v>13.66</v>
      </c>
      <c r="E727" s="1">
        <v>13.74</v>
      </c>
      <c r="F727" s="6">
        <f t="shared" si="1"/>
        <v>1</v>
      </c>
    </row>
    <row r="728" hidden="1">
      <c r="A728" s="2">
        <v>45349.0</v>
      </c>
      <c r="B728" s="1">
        <v>13.63</v>
      </c>
      <c r="C728" s="1">
        <v>13.75</v>
      </c>
      <c r="D728" s="1">
        <v>13.41</v>
      </c>
      <c r="E728" s="1">
        <v>13.43</v>
      </c>
      <c r="F728" s="6">
        <f t="shared" si="1"/>
        <v>2</v>
      </c>
    </row>
    <row r="729" hidden="1">
      <c r="A729" s="2">
        <v>45350.0</v>
      </c>
      <c r="B729" s="1">
        <v>13.52</v>
      </c>
      <c r="C729" s="1">
        <v>13.9</v>
      </c>
      <c r="D729" s="1">
        <v>13.44</v>
      </c>
      <c r="E729" s="1">
        <v>13.84</v>
      </c>
      <c r="F729" s="6">
        <f t="shared" si="1"/>
        <v>3</v>
      </c>
    </row>
    <row r="730" hidden="1">
      <c r="A730" s="2">
        <v>45351.0</v>
      </c>
      <c r="B730" s="1">
        <v>14.14</v>
      </c>
      <c r="C730" s="1">
        <v>14.15</v>
      </c>
      <c r="D730" s="1">
        <v>13.3</v>
      </c>
      <c r="E730" s="1">
        <v>13.4</v>
      </c>
      <c r="F730" s="6">
        <f t="shared" si="1"/>
        <v>4</v>
      </c>
    </row>
    <row r="731">
      <c r="A731" s="2">
        <v>45352.0</v>
      </c>
      <c r="B731" s="1">
        <v>13.34</v>
      </c>
      <c r="C731" s="1">
        <v>13.66</v>
      </c>
      <c r="D731" s="1">
        <v>13.08</v>
      </c>
      <c r="E731" s="1">
        <v>13.11</v>
      </c>
      <c r="F731" s="6">
        <f t="shared" si="1"/>
        <v>0</v>
      </c>
    </row>
    <row r="732" hidden="1">
      <c r="A732" s="2">
        <v>45355.0</v>
      </c>
      <c r="B732" s="1">
        <v>13.49</v>
      </c>
      <c r="C732" s="1">
        <v>13.58</v>
      </c>
      <c r="D732" s="1">
        <v>13.32</v>
      </c>
      <c r="E732" s="1">
        <v>13.49</v>
      </c>
      <c r="F732" s="6">
        <f t="shared" si="1"/>
        <v>1</v>
      </c>
    </row>
    <row r="733" hidden="1">
      <c r="A733" s="2">
        <v>45356.0</v>
      </c>
      <c r="B733" s="1">
        <v>13.75</v>
      </c>
      <c r="C733" s="1">
        <v>15.1</v>
      </c>
      <c r="D733" s="1">
        <v>13.75</v>
      </c>
      <c r="E733" s="1">
        <v>14.46</v>
      </c>
      <c r="F733" s="6">
        <f t="shared" si="1"/>
        <v>2</v>
      </c>
    </row>
    <row r="734" hidden="1">
      <c r="A734" s="2">
        <v>45357.0</v>
      </c>
      <c r="B734" s="1">
        <v>14.27</v>
      </c>
      <c r="C734" s="1">
        <v>14.93</v>
      </c>
      <c r="D734" s="1">
        <v>13.89</v>
      </c>
      <c r="E734" s="1">
        <v>14.5</v>
      </c>
      <c r="F734" s="6">
        <f t="shared" si="1"/>
        <v>3</v>
      </c>
    </row>
    <row r="735" hidden="1">
      <c r="A735" s="2">
        <v>45358.0</v>
      </c>
      <c r="B735" s="1">
        <v>14.98</v>
      </c>
      <c r="C735" s="1">
        <v>14.98</v>
      </c>
      <c r="D735" s="1">
        <v>14.25</v>
      </c>
      <c r="E735" s="1">
        <v>14.44</v>
      </c>
      <c r="F735" s="6">
        <f t="shared" si="1"/>
        <v>4</v>
      </c>
    </row>
    <row r="736">
      <c r="A736" s="2">
        <v>45359.0</v>
      </c>
      <c r="B736" s="1">
        <v>14.22</v>
      </c>
      <c r="C736" s="1">
        <v>15.53</v>
      </c>
      <c r="D736" s="1">
        <v>13.97</v>
      </c>
      <c r="E736" s="1">
        <v>14.74</v>
      </c>
      <c r="F736" s="6">
        <f t="shared" si="1"/>
        <v>0</v>
      </c>
    </row>
    <row r="737" hidden="1">
      <c r="A737" s="2">
        <v>45362.0</v>
      </c>
      <c r="B737" s="1">
        <v>15.51</v>
      </c>
      <c r="C737" s="1">
        <v>16.04</v>
      </c>
      <c r="D737" s="1">
        <v>15.13</v>
      </c>
      <c r="E737" s="1">
        <v>15.22</v>
      </c>
      <c r="F737" s="6">
        <f t="shared" si="1"/>
        <v>1</v>
      </c>
    </row>
    <row r="738" hidden="1">
      <c r="A738" s="2">
        <v>45363.0</v>
      </c>
      <c r="B738" s="1">
        <v>14.97</v>
      </c>
      <c r="C738" s="1">
        <v>15.2</v>
      </c>
      <c r="D738" s="1">
        <v>13.81</v>
      </c>
      <c r="E738" s="1">
        <v>13.84</v>
      </c>
      <c r="F738" s="6">
        <f t="shared" si="1"/>
        <v>2</v>
      </c>
    </row>
    <row r="739" hidden="1">
      <c r="A739" s="2">
        <v>45364.0</v>
      </c>
      <c r="B739" s="1">
        <v>13.89</v>
      </c>
      <c r="C739" s="1">
        <v>14.04</v>
      </c>
      <c r="D739" s="1">
        <v>13.67</v>
      </c>
      <c r="E739" s="1">
        <v>13.75</v>
      </c>
      <c r="F739" s="6">
        <f t="shared" si="1"/>
        <v>3</v>
      </c>
    </row>
    <row r="740" hidden="1">
      <c r="A740" s="2">
        <v>45365.0</v>
      </c>
      <c r="B740" s="1">
        <v>13.62</v>
      </c>
      <c r="C740" s="1">
        <v>15.33</v>
      </c>
      <c r="D740" s="1">
        <v>13.42</v>
      </c>
      <c r="E740" s="1">
        <v>14.4</v>
      </c>
      <c r="F740" s="6">
        <f t="shared" si="1"/>
        <v>4</v>
      </c>
    </row>
    <row r="741">
      <c r="A741" s="2">
        <v>45366.0</v>
      </c>
      <c r="B741" s="1">
        <v>14.33</v>
      </c>
      <c r="C741" s="1">
        <v>15.53</v>
      </c>
      <c r="D741" s="1">
        <v>14.14</v>
      </c>
      <c r="E741" s="1">
        <v>14.41</v>
      </c>
      <c r="F741" s="6">
        <f t="shared" si="1"/>
        <v>0</v>
      </c>
    </row>
    <row r="742" hidden="1">
      <c r="A742" s="2">
        <v>45369.0</v>
      </c>
      <c r="B742" s="1">
        <v>14.75</v>
      </c>
      <c r="C742" s="1">
        <v>14.85</v>
      </c>
      <c r="D742" s="1">
        <v>14.26</v>
      </c>
      <c r="E742" s="1">
        <v>14.33</v>
      </c>
      <c r="F742" s="6">
        <f t="shared" si="1"/>
        <v>1</v>
      </c>
    </row>
    <row r="743" hidden="1">
      <c r="A743" s="2">
        <v>45370.0</v>
      </c>
      <c r="B743" s="1">
        <v>14.5</v>
      </c>
      <c r="C743" s="1">
        <v>14.86</v>
      </c>
      <c r="D743" s="1">
        <v>13.8</v>
      </c>
      <c r="E743" s="1">
        <v>13.82</v>
      </c>
      <c r="F743" s="6">
        <f t="shared" si="1"/>
        <v>2</v>
      </c>
    </row>
    <row r="744" hidden="1">
      <c r="A744" s="2">
        <v>45371.0</v>
      </c>
      <c r="B744" s="1">
        <v>13.83</v>
      </c>
      <c r="C744" s="1">
        <v>14.17</v>
      </c>
      <c r="D744" s="1">
        <v>13.01</v>
      </c>
      <c r="E744" s="1">
        <v>13.04</v>
      </c>
      <c r="F744" s="6">
        <f t="shared" si="1"/>
        <v>3</v>
      </c>
    </row>
    <row r="745" hidden="1">
      <c r="A745" s="2">
        <v>45372.0</v>
      </c>
      <c r="B745" s="1">
        <v>12.98</v>
      </c>
      <c r="C745" s="1">
        <v>13.08</v>
      </c>
      <c r="D745" s="1">
        <v>12.4</v>
      </c>
      <c r="E745" s="1">
        <v>12.92</v>
      </c>
      <c r="F745" s="6">
        <f t="shared" si="1"/>
        <v>4</v>
      </c>
    </row>
    <row r="746">
      <c r="A746" s="2">
        <v>45373.0</v>
      </c>
      <c r="B746" s="1">
        <v>12.92</v>
      </c>
      <c r="C746" s="1">
        <v>13.15</v>
      </c>
      <c r="D746" s="1">
        <v>12.58</v>
      </c>
      <c r="E746" s="1">
        <v>13.06</v>
      </c>
      <c r="F746" s="6">
        <f t="shared" si="1"/>
        <v>0</v>
      </c>
    </row>
    <row r="747" hidden="1">
      <c r="A747" s="2">
        <v>45376.0</v>
      </c>
      <c r="B747" s="1">
        <v>13.67</v>
      </c>
      <c r="C747" s="1">
        <v>13.67</v>
      </c>
      <c r="D747" s="1">
        <v>13.11</v>
      </c>
      <c r="E747" s="1">
        <v>13.19</v>
      </c>
      <c r="F747" s="6">
        <f t="shared" si="1"/>
        <v>1</v>
      </c>
    </row>
    <row r="748" hidden="1">
      <c r="A748" s="2">
        <v>45377.0</v>
      </c>
      <c r="B748" s="1">
        <v>13.12</v>
      </c>
      <c r="C748" s="1">
        <v>13.43</v>
      </c>
      <c r="D748" s="1">
        <v>12.84</v>
      </c>
      <c r="E748" s="1">
        <v>13.24</v>
      </c>
      <c r="F748" s="6">
        <f t="shared" si="1"/>
        <v>2</v>
      </c>
    </row>
    <row r="749" hidden="1">
      <c r="A749" s="2">
        <v>45378.0</v>
      </c>
      <c r="B749" s="1">
        <v>13.13</v>
      </c>
      <c r="C749" s="1">
        <v>13.34</v>
      </c>
      <c r="D749" s="1">
        <v>12.66</v>
      </c>
      <c r="E749" s="1">
        <v>12.78</v>
      </c>
      <c r="F749" s="6">
        <f t="shared" si="1"/>
        <v>3</v>
      </c>
    </row>
    <row r="750" hidden="1">
      <c r="A750" s="2">
        <v>45379.0</v>
      </c>
      <c r="B750" s="1">
        <v>12.93</v>
      </c>
      <c r="C750" s="1">
        <v>13.1</v>
      </c>
      <c r="D750" s="1">
        <v>12.84</v>
      </c>
      <c r="E750" s="1">
        <v>13.01</v>
      </c>
      <c r="F750" s="6">
        <f t="shared" si="1"/>
        <v>4</v>
      </c>
    </row>
    <row r="751">
      <c r="A751" s="2">
        <v>45383.0</v>
      </c>
      <c r="B751" s="1">
        <v>13.61</v>
      </c>
      <c r="C751" s="1">
        <v>14.15</v>
      </c>
      <c r="D751" s="1">
        <v>13.55</v>
      </c>
      <c r="E751" s="1">
        <v>13.65</v>
      </c>
      <c r="F751" s="6">
        <f t="shared" si="1"/>
        <v>0</v>
      </c>
    </row>
    <row r="752" hidden="1">
      <c r="A752" s="2">
        <v>45384.0</v>
      </c>
      <c r="B752" s="1">
        <v>13.74</v>
      </c>
      <c r="C752" s="1">
        <v>15.43</v>
      </c>
      <c r="D752" s="1">
        <v>13.68</v>
      </c>
      <c r="E752" s="1">
        <v>14.61</v>
      </c>
      <c r="F752" s="6">
        <f t="shared" si="1"/>
        <v>1</v>
      </c>
    </row>
    <row r="753" hidden="1">
      <c r="A753" s="2">
        <v>45385.0</v>
      </c>
      <c r="B753" s="1">
        <v>15.0</v>
      </c>
      <c r="C753" s="1">
        <v>15.18</v>
      </c>
      <c r="D753" s="1">
        <v>14.25</v>
      </c>
      <c r="E753" s="1">
        <v>14.33</v>
      </c>
      <c r="F753" s="6">
        <f t="shared" si="1"/>
        <v>2</v>
      </c>
    </row>
    <row r="754" hidden="1">
      <c r="A754" s="2">
        <v>45386.0</v>
      </c>
      <c r="B754" s="1">
        <v>14.29</v>
      </c>
      <c r="C754" s="1">
        <v>16.92</v>
      </c>
      <c r="D754" s="1">
        <v>13.74</v>
      </c>
      <c r="E754" s="1">
        <v>16.35</v>
      </c>
      <c r="F754" s="6">
        <f t="shared" si="1"/>
        <v>3</v>
      </c>
    </row>
    <row r="755" hidden="1">
      <c r="A755" s="2">
        <v>45387.0</v>
      </c>
      <c r="B755" s="1">
        <v>16.45</v>
      </c>
      <c r="C755" s="1">
        <v>16.75</v>
      </c>
      <c r="D755" s="1">
        <v>15.53</v>
      </c>
      <c r="E755" s="1">
        <v>16.03</v>
      </c>
      <c r="F755" s="6">
        <f t="shared" si="1"/>
        <v>4</v>
      </c>
    </row>
    <row r="756">
      <c r="A756" s="2">
        <v>45390.0</v>
      </c>
      <c r="B756" s="1">
        <v>16.24</v>
      </c>
      <c r="C756" s="1">
        <v>16.5</v>
      </c>
      <c r="D756" s="1">
        <v>15.11</v>
      </c>
      <c r="E756" s="1">
        <v>15.19</v>
      </c>
      <c r="F756" s="6">
        <f t="shared" si="1"/>
        <v>0</v>
      </c>
    </row>
    <row r="757" hidden="1">
      <c r="A757" s="2">
        <v>45391.0</v>
      </c>
      <c r="B757" s="1">
        <v>15.34</v>
      </c>
      <c r="C757" s="1">
        <v>16.63</v>
      </c>
      <c r="D757" s="1">
        <v>14.94</v>
      </c>
      <c r="E757" s="1">
        <v>14.98</v>
      </c>
      <c r="F757" s="6">
        <f t="shared" si="1"/>
        <v>1</v>
      </c>
    </row>
    <row r="758" hidden="1">
      <c r="A758" s="2">
        <v>45392.0</v>
      </c>
      <c r="B758" s="1">
        <v>15.24</v>
      </c>
      <c r="C758" s="1">
        <v>16.62</v>
      </c>
      <c r="D758" s="1">
        <v>14.59</v>
      </c>
      <c r="E758" s="1">
        <v>15.8</v>
      </c>
      <c r="F758" s="6">
        <f t="shared" si="1"/>
        <v>2</v>
      </c>
    </row>
    <row r="759" hidden="1">
      <c r="A759" s="2">
        <v>45393.0</v>
      </c>
      <c r="B759" s="1">
        <v>16.02</v>
      </c>
      <c r="C759" s="1">
        <v>17.61</v>
      </c>
      <c r="D759" s="1">
        <v>14.91</v>
      </c>
      <c r="E759" s="1">
        <v>14.91</v>
      </c>
      <c r="F759" s="6">
        <f t="shared" si="1"/>
        <v>3</v>
      </c>
    </row>
    <row r="760" hidden="1">
      <c r="A760" s="2">
        <v>45394.0</v>
      </c>
      <c r="B760" s="1">
        <v>14.91</v>
      </c>
      <c r="C760" s="1">
        <v>19.2</v>
      </c>
      <c r="D760" s="1">
        <v>14.91</v>
      </c>
      <c r="E760" s="1">
        <v>17.31</v>
      </c>
      <c r="F760" s="6">
        <f t="shared" si="1"/>
        <v>4</v>
      </c>
    </row>
    <row r="761">
      <c r="A761" s="2">
        <v>45397.0</v>
      </c>
      <c r="B761" s="1">
        <v>16.94</v>
      </c>
      <c r="C761" s="1">
        <v>19.46</v>
      </c>
      <c r="D761" s="1">
        <v>16.26</v>
      </c>
      <c r="E761" s="1">
        <v>19.23</v>
      </c>
      <c r="F761" s="6">
        <f t="shared" si="1"/>
        <v>0</v>
      </c>
    </row>
    <row r="762" hidden="1">
      <c r="A762" s="2">
        <v>45398.0</v>
      </c>
      <c r="B762" s="1">
        <v>19.49</v>
      </c>
      <c r="C762" s="1">
        <v>19.56</v>
      </c>
      <c r="D762" s="1">
        <v>17.64</v>
      </c>
      <c r="E762" s="1">
        <v>18.4</v>
      </c>
      <c r="F762" s="6">
        <f t="shared" si="1"/>
        <v>1</v>
      </c>
    </row>
    <row r="763" hidden="1">
      <c r="A763" s="2">
        <v>45399.0</v>
      </c>
      <c r="B763" s="1">
        <v>18.24</v>
      </c>
      <c r="C763" s="1">
        <v>19.11</v>
      </c>
      <c r="D763" s="1">
        <v>17.54</v>
      </c>
      <c r="E763" s="1">
        <v>18.21</v>
      </c>
      <c r="F763" s="6">
        <f t="shared" si="1"/>
        <v>2</v>
      </c>
    </row>
    <row r="764" hidden="1">
      <c r="A764" s="2">
        <v>45400.0</v>
      </c>
      <c r="B764" s="1">
        <v>17.91</v>
      </c>
      <c r="C764" s="1">
        <v>18.37</v>
      </c>
      <c r="D764" s="1">
        <v>17.21</v>
      </c>
      <c r="E764" s="1">
        <v>18.0</v>
      </c>
      <c r="F764" s="6">
        <f t="shared" si="1"/>
        <v>3</v>
      </c>
    </row>
    <row r="765" hidden="1">
      <c r="A765" s="2">
        <v>45401.0</v>
      </c>
      <c r="B765" s="1">
        <v>21.33</v>
      </c>
      <c r="C765" s="1">
        <v>21.36</v>
      </c>
      <c r="D765" s="1">
        <v>18.17</v>
      </c>
      <c r="E765" s="1">
        <v>18.71</v>
      </c>
      <c r="F765" s="6">
        <f t="shared" si="1"/>
        <v>4</v>
      </c>
    </row>
    <row r="766">
      <c r="A766" s="2">
        <v>45404.0</v>
      </c>
      <c r="B766" s="1">
        <v>18.59</v>
      </c>
      <c r="C766" s="1">
        <v>18.72</v>
      </c>
      <c r="D766" s="1">
        <v>16.69</v>
      </c>
      <c r="E766" s="1">
        <v>16.94</v>
      </c>
      <c r="F766" s="6">
        <f t="shared" si="1"/>
        <v>0</v>
      </c>
    </row>
    <row r="767" hidden="1">
      <c r="A767" s="2">
        <v>45405.0</v>
      </c>
      <c r="B767" s="1">
        <v>16.72</v>
      </c>
      <c r="C767" s="1">
        <v>16.76</v>
      </c>
      <c r="D767" s="1">
        <v>15.69</v>
      </c>
      <c r="E767" s="1">
        <v>15.69</v>
      </c>
      <c r="F767" s="6">
        <f t="shared" si="1"/>
        <v>1</v>
      </c>
    </row>
    <row r="768" hidden="1">
      <c r="A768" s="2">
        <v>45406.0</v>
      </c>
      <c r="B768" s="1">
        <v>15.76</v>
      </c>
      <c r="C768" s="1">
        <v>16.38</v>
      </c>
      <c r="D768" s="1">
        <v>15.58</v>
      </c>
      <c r="E768" s="1">
        <v>15.97</v>
      </c>
      <c r="F768" s="6">
        <f t="shared" si="1"/>
        <v>2</v>
      </c>
    </row>
    <row r="769" hidden="1">
      <c r="A769" s="2">
        <v>45407.0</v>
      </c>
      <c r="B769" s="1">
        <v>16.25</v>
      </c>
      <c r="C769" s="1">
        <v>17.55</v>
      </c>
      <c r="D769" s="1">
        <v>15.27</v>
      </c>
      <c r="E769" s="1">
        <v>15.37</v>
      </c>
      <c r="F769" s="6">
        <f t="shared" si="1"/>
        <v>3</v>
      </c>
    </row>
    <row r="770" hidden="1">
      <c r="A770" s="2">
        <v>45408.0</v>
      </c>
      <c r="B770" s="1">
        <v>15.49</v>
      </c>
      <c r="C770" s="1">
        <v>16.06</v>
      </c>
      <c r="D770" s="1">
        <v>14.92</v>
      </c>
      <c r="E770" s="1">
        <v>15.03</v>
      </c>
      <c r="F770" s="6">
        <f t="shared" si="1"/>
        <v>4</v>
      </c>
    </row>
    <row r="771">
      <c r="A771" s="2">
        <v>45411.0</v>
      </c>
      <c r="B771" s="1">
        <v>15.37</v>
      </c>
      <c r="C771" s="1">
        <v>15.42</v>
      </c>
      <c r="D771" s="1">
        <v>14.63</v>
      </c>
      <c r="E771" s="1">
        <v>14.67</v>
      </c>
      <c r="F771" s="6">
        <f t="shared" si="1"/>
        <v>0</v>
      </c>
    </row>
    <row r="772" hidden="1">
      <c r="A772" s="2">
        <v>45412.0</v>
      </c>
      <c r="B772" s="1">
        <v>14.82</v>
      </c>
      <c r="C772" s="1">
        <v>15.9</v>
      </c>
      <c r="D772" s="1">
        <v>14.67</v>
      </c>
      <c r="E772" s="1">
        <v>15.65</v>
      </c>
      <c r="F772" s="6">
        <f t="shared" si="1"/>
        <v>1</v>
      </c>
    </row>
    <row r="773" hidden="1">
      <c r="A773" s="2">
        <v>45413.0</v>
      </c>
      <c r="B773" s="1">
        <v>15.75</v>
      </c>
      <c r="C773" s="1">
        <v>16.22</v>
      </c>
      <c r="D773" s="1">
        <v>14.35</v>
      </c>
      <c r="E773" s="1">
        <v>15.39</v>
      </c>
      <c r="F773" s="6">
        <f t="shared" si="1"/>
        <v>2</v>
      </c>
    </row>
    <row r="774" hidden="1">
      <c r="A774" s="2">
        <v>45414.0</v>
      </c>
      <c r="B774" s="1">
        <v>15.14</v>
      </c>
      <c r="C774" s="1">
        <v>16.09</v>
      </c>
      <c r="D774" s="1">
        <v>14.6</v>
      </c>
      <c r="E774" s="1">
        <v>14.68</v>
      </c>
      <c r="F774" s="6">
        <f t="shared" si="1"/>
        <v>3</v>
      </c>
    </row>
    <row r="775" hidden="1">
      <c r="A775" s="2">
        <v>45415.0</v>
      </c>
      <c r="B775" s="1">
        <v>14.51</v>
      </c>
      <c r="C775" s="1">
        <v>14.58</v>
      </c>
      <c r="D775" s="1">
        <v>13.48</v>
      </c>
      <c r="E775" s="1">
        <v>13.49</v>
      </c>
      <c r="F775" s="6">
        <f t="shared" si="1"/>
        <v>4</v>
      </c>
    </row>
    <row r="776">
      <c r="A776" s="2">
        <v>45418.0</v>
      </c>
      <c r="B776" s="1">
        <v>13.98</v>
      </c>
      <c r="C776" s="1">
        <v>14.02</v>
      </c>
      <c r="D776" s="1">
        <v>13.44</v>
      </c>
      <c r="E776" s="1">
        <v>13.49</v>
      </c>
      <c r="F776" s="6">
        <f t="shared" si="1"/>
        <v>0</v>
      </c>
    </row>
    <row r="777" hidden="1">
      <c r="A777" s="2">
        <v>45419.0</v>
      </c>
      <c r="B777" s="1">
        <v>13.52</v>
      </c>
      <c r="C777" s="1">
        <v>13.64</v>
      </c>
      <c r="D777" s="1">
        <v>13.16</v>
      </c>
      <c r="E777" s="1">
        <v>13.23</v>
      </c>
      <c r="F777" s="6">
        <f t="shared" si="1"/>
        <v>1</v>
      </c>
    </row>
    <row r="778" hidden="1">
      <c r="A778" s="2">
        <v>45420.0</v>
      </c>
      <c r="B778" s="1">
        <v>13.24</v>
      </c>
      <c r="C778" s="1">
        <v>13.51</v>
      </c>
      <c r="D778" s="1">
        <v>12.94</v>
      </c>
      <c r="E778" s="1">
        <v>13.0</v>
      </c>
      <c r="F778" s="6">
        <f t="shared" si="1"/>
        <v>2</v>
      </c>
    </row>
    <row r="779" hidden="1">
      <c r="A779" s="2">
        <v>45421.0</v>
      </c>
      <c r="B779" s="1">
        <v>13.08</v>
      </c>
      <c r="C779" s="1">
        <v>13.29</v>
      </c>
      <c r="D779" s="1">
        <v>12.68</v>
      </c>
      <c r="E779" s="1">
        <v>12.69</v>
      </c>
      <c r="F779" s="6">
        <f t="shared" si="1"/>
        <v>3</v>
      </c>
    </row>
    <row r="780" hidden="1">
      <c r="A780" s="2">
        <v>45422.0</v>
      </c>
      <c r="B780" s="1">
        <v>12.77</v>
      </c>
      <c r="C780" s="1">
        <v>12.96</v>
      </c>
      <c r="D780" s="1">
        <v>12.5</v>
      </c>
      <c r="E780" s="1">
        <v>12.55</v>
      </c>
      <c r="F780" s="6">
        <f t="shared" si="1"/>
        <v>4</v>
      </c>
    </row>
    <row r="781">
      <c r="A781" s="2">
        <v>45425.0</v>
      </c>
      <c r="B781" s="1">
        <v>13.26</v>
      </c>
      <c r="C781" s="1">
        <v>13.66</v>
      </c>
      <c r="D781" s="1">
        <v>13.25</v>
      </c>
      <c r="E781" s="1">
        <v>13.6</v>
      </c>
      <c r="F781" s="6">
        <f t="shared" si="1"/>
        <v>0</v>
      </c>
    </row>
    <row r="782" hidden="1">
      <c r="A782" s="2">
        <v>45426.0</v>
      </c>
      <c r="B782" s="1">
        <v>13.71</v>
      </c>
      <c r="C782" s="1">
        <v>14.03</v>
      </c>
      <c r="D782" s="1">
        <v>13.27</v>
      </c>
      <c r="E782" s="1">
        <v>13.42</v>
      </c>
      <c r="F782" s="6">
        <f t="shared" si="1"/>
        <v>1</v>
      </c>
    </row>
    <row r="783" hidden="1">
      <c r="A783" s="2">
        <v>45427.0</v>
      </c>
      <c r="B783" s="1">
        <v>13.73</v>
      </c>
      <c r="C783" s="1">
        <v>13.94</v>
      </c>
      <c r="D783" s="1">
        <v>12.38</v>
      </c>
      <c r="E783" s="1">
        <v>12.45</v>
      </c>
      <c r="F783" s="6">
        <f t="shared" si="1"/>
        <v>2</v>
      </c>
    </row>
    <row r="784" hidden="1">
      <c r="A784" s="2">
        <v>45428.0</v>
      </c>
      <c r="B784" s="1">
        <v>12.52</v>
      </c>
      <c r="C784" s="1">
        <v>12.67</v>
      </c>
      <c r="D784" s="1">
        <v>12.33</v>
      </c>
      <c r="E784" s="1">
        <v>12.42</v>
      </c>
      <c r="F784" s="6">
        <f t="shared" si="1"/>
        <v>3</v>
      </c>
    </row>
    <row r="785" hidden="1">
      <c r="A785" s="2">
        <v>45429.0</v>
      </c>
      <c r="B785" s="1">
        <v>12.28</v>
      </c>
      <c r="C785" s="1">
        <v>12.48</v>
      </c>
      <c r="D785" s="1">
        <v>11.91</v>
      </c>
      <c r="E785" s="1">
        <v>11.99</v>
      </c>
      <c r="F785" s="6">
        <f t="shared" si="1"/>
        <v>4</v>
      </c>
    </row>
    <row r="786">
      <c r="A786" s="2">
        <v>45432.0</v>
      </c>
      <c r="B786" s="1">
        <v>12.27</v>
      </c>
      <c r="C786" s="1">
        <v>12.59</v>
      </c>
      <c r="D786" s="1">
        <v>12.07</v>
      </c>
      <c r="E786" s="1">
        <v>12.15</v>
      </c>
      <c r="F786" s="6">
        <f t="shared" si="1"/>
        <v>0</v>
      </c>
    </row>
    <row r="787" hidden="1">
      <c r="A787" s="2">
        <v>45433.0</v>
      </c>
      <c r="B787" s="1">
        <v>12.3</v>
      </c>
      <c r="C787" s="1">
        <v>12.56</v>
      </c>
      <c r="D787" s="1">
        <v>11.84</v>
      </c>
      <c r="E787" s="1">
        <v>11.86</v>
      </c>
      <c r="F787" s="6">
        <f t="shared" si="1"/>
        <v>1</v>
      </c>
    </row>
    <row r="788" hidden="1">
      <c r="A788" s="2">
        <v>45434.0</v>
      </c>
      <c r="B788" s="1">
        <v>12.05</v>
      </c>
      <c r="C788" s="1">
        <v>12.81</v>
      </c>
      <c r="D788" s="1">
        <v>11.78</v>
      </c>
      <c r="E788" s="1">
        <v>12.29</v>
      </c>
      <c r="F788" s="6">
        <f t="shared" si="1"/>
        <v>2</v>
      </c>
    </row>
    <row r="789" hidden="1">
      <c r="A789" s="2">
        <v>45435.0</v>
      </c>
      <c r="B789" s="1">
        <v>11.53</v>
      </c>
      <c r="C789" s="1">
        <v>13.37</v>
      </c>
      <c r="D789" s="1">
        <v>11.52</v>
      </c>
      <c r="E789" s="1">
        <v>12.77</v>
      </c>
      <c r="F789" s="6">
        <f t="shared" si="1"/>
        <v>3</v>
      </c>
    </row>
    <row r="790" hidden="1">
      <c r="A790" s="2">
        <v>45436.0</v>
      </c>
      <c r="B790" s="1">
        <v>12.86</v>
      </c>
      <c r="C790" s="1">
        <v>12.89</v>
      </c>
      <c r="D790" s="1">
        <v>11.89</v>
      </c>
      <c r="E790" s="1">
        <v>11.93</v>
      </c>
      <c r="F790" s="6">
        <f t="shared" si="1"/>
        <v>4</v>
      </c>
    </row>
    <row r="791">
      <c r="A791" s="2">
        <v>45439.0</v>
      </c>
      <c r="B791" s="1">
        <v>12.41</v>
      </c>
      <c r="C791" s="1">
        <v>12.49</v>
      </c>
      <c r="D791" s="1">
        <v>12.35</v>
      </c>
      <c r="E791" s="1">
        <v>12.36</v>
      </c>
      <c r="F791" s="6">
        <f t="shared" si="1"/>
        <v>0</v>
      </c>
    </row>
    <row r="792" hidden="1">
      <c r="A792" s="2">
        <v>45440.0</v>
      </c>
      <c r="B792" s="1">
        <v>12.51</v>
      </c>
      <c r="C792" s="1">
        <v>13.44</v>
      </c>
      <c r="D792" s="1">
        <v>12.36</v>
      </c>
      <c r="E792" s="1">
        <v>12.92</v>
      </c>
      <c r="F792" s="6">
        <f t="shared" si="1"/>
        <v>1</v>
      </c>
    </row>
    <row r="793" hidden="1">
      <c r="A793" s="2">
        <v>45441.0</v>
      </c>
      <c r="B793" s="1">
        <v>13.75</v>
      </c>
      <c r="C793" s="1">
        <v>14.32</v>
      </c>
      <c r="D793" s="1">
        <v>13.69</v>
      </c>
      <c r="E793" s="1">
        <v>14.28</v>
      </c>
      <c r="F793" s="6">
        <f t="shared" si="1"/>
        <v>2</v>
      </c>
    </row>
    <row r="794" hidden="1">
      <c r="A794" s="2">
        <v>45442.0</v>
      </c>
      <c r="B794" s="1">
        <v>14.82</v>
      </c>
      <c r="C794" s="1">
        <v>14.88</v>
      </c>
      <c r="D794" s="1">
        <v>13.67</v>
      </c>
      <c r="E794" s="1">
        <v>14.47</v>
      </c>
      <c r="F794" s="6">
        <f t="shared" si="1"/>
        <v>3</v>
      </c>
    </row>
    <row r="795" hidden="1">
      <c r="A795" s="2">
        <v>45443.0</v>
      </c>
      <c r="B795" s="1">
        <v>14.5</v>
      </c>
      <c r="C795" s="1">
        <v>14.87</v>
      </c>
      <c r="D795" s="1">
        <v>12.84</v>
      </c>
      <c r="E795" s="1">
        <v>12.92</v>
      </c>
      <c r="F795" s="6">
        <f t="shared" si="1"/>
        <v>4</v>
      </c>
    </row>
    <row r="796">
      <c r="A796" s="2">
        <v>45446.0</v>
      </c>
      <c r="B796" s="1">
        <v>13.08</v>
      </c>
      <c r="C796" s="1">
        <v>14.31</v>
      </c>
      <c r="D796" s="1">
        <v>13.0</v>
      </c>
      <c r="E796" s="1">
        <v>13.11</v>
      </c>
      <c r="F796" s="6">
        <f t="shared" si="1"/>
        <v>0</v>
      </c>
    </row>
    <row r="797" hidden="1">
      <c r="A797" s="2">
        <v>45447.0</v>
      </c>
      <c r="B797" s="1">
        <v>13.51</v>
      </c>
      <c r="C797" s="1">
        <v>14.08</v>
      </c>
      <c r="D797" s="1">
        <v>13.11</v>
      </c>
      <c r="E797" s="1">
        <v>13.16</v>
      </c>
      <c r="F797" s="6">
        <f t="shared" si="1"/>
        <v>1</v>
      </c>
    </row>
    <row r="798" hidden="1">
      <c r="A798" s="2">
        <v>45448.0</v>
      </c>
      <c r="B798" s="1">
        <v>13.14</v>
      </c>
      <c r="C798" s="1">
        <v>13.25</v>
      </c>
      <c r="D798" s="1">
        <v>12.6</v>
      </c>
      <c r="E798" s="1">
        <v>12.63</v>
      </c>
      <c r="F798" s="6">
        <f t="shared" si="1"/>
        <v>2</v>
      </c>
    </row>
    <row r="799" hidden="1">
      <c r="A799" s="2">
        <v>45449.0</v>
      </c>
      <c r="B799" s="1">
        <v>12.75</v>
      </c>
      <c r="C799" s="1">
        <v>12.98</v>
      </c>
      <c r="D799" s="1">
        <v>12.54</v>
      </c>
      <c r="E799" s="1">
        <v>12.58</v>
      </c>
      <c r="F799" s="6">
        <f t="shared" si="1"/>
        <v>3</v>
      </c>
    </row>
    <row r="800" hidden="1">
      <c r="A800" s="2">
        <v>45450.0</v>
      </c>
      <c r="B800" s="1">
        <v>12.69</v>
      </c>
      <c r="C800" s="1">
        <v>13.08</v>
      </c>
      <c r="D800" s="1">
        <v>12.11</v>
      </c>
      <c r="E800" s="1">
        <v>12.22</v>
      </c>
      <c r="F800" s="6">
        <f t="shared" si="1"/>
        <v>4</v>
      </c>
    </row>
    <row r="801">
      <c r="A801" s="2">
        <v>45453.0</v>
      </c>
      <c r="B801" s="1">
        <v>13.09</v>
      </c>
      <c r="C801" s="1">
        <v>13.28</v>
      </c>
      <c r="D801" s="1">
        <v>12.62</v>
      </c>
      <c r="E801" s="1">
        <v>12.74</v>
      </c>
      <c r="F801" s="6">
        <f t="shared" si="1"/>
        <v>0</v>
      </c>
    </row>
    <row r="802" hidden="1">
      <c r="A802" s="2">
        <v>45454.0</v>
      </c>
      <c r="B802" s="1">
        <v>12.85</v>
      </c>
      <c r="C802" s="1">
        <v>13.47</v>
      </c>
      <c r="D802" s="1">
        <v>12.78</v>
      </c>
      <c r="E802" s="1">
        <v>12.85</v>
      </c>
      <c r="F802" s="6">
        <f t="shared" si="1"/>
        <v>1</v>
      </c>
    </row>
    <row r="803" hidden="1">
      <c r="A803" s="2">
        <v>45455.0</v>
      </c>
      <c r="B803" s="1">
        <v>13.1</v>
      </c>
      <c r="C803" s="1">
        <v>13.15</v>
      </c>
      <c r="D803" s="1">
        <v>11.94</v>
      </c>
      <c r="E803" s="1">
        <v>12.04</v>
      </c>
      <c r="F803" s="6">
        <f t="shared" si="1"/>
        <v>2</v>
      </c>
    </row>
    <row r="804" hidden="1">
      <c r="A804" s="2">
        <v>45456.0</v>
      </c>
      <c r="B804" s="1">
        <v>12.05</v>
      </c>
      <c r="C804" s="1">
        <v>12.68</v>
      </c>
      <c r="D804" s="1">
        <v>11.88</v>
      </c>
      <c r="E804" s="1">
        <v>11.94</v>
      </c>
      <c r="F804" s="6">
        <f t="shared" si="1"/>
        <v>3</v>
      </c>
    </row>
    <row r="805" hidden="1">
      <c r="A805" s="2">
        <v>45457.0</v>
      </c>
      <c r="B805" s="1">
        <v>12.22</v>
      </c>
      <c r="C805" s="1">
        <v>13.45</v>
      </c>
      <c r="D805" s="1">
        <v>12.12</v>
      </c>
      <c r="E805" s="1">
        <v>12.66</v>
      </c>
      <c r="F805" s="6">
        <f t="shared" si="1"/>
        <v>4</v>
      </c>
    </row>
    <row r="806">
      <c r="A806" s="2">
        <v>45460.0</v>
      </c>
      <c r="B806" s="1">
        <v>13.07</v>
      </c>
      <c r="C806" s="1">
        <v>13.29</v>
      </c>
      <c r="D806" s="1">
        <v>12.5</v>
      </c>
      <c r="E806" s="1">
        <v>12.75</v>
      </c>
      <c r="F806" s="6">
        <f t="shared" si="1"/>
        <v>0</v>
      </c>
    </row>
    <row r="807" hidden="1">
      <c r="A807" s="2">
        <v>45461.0</v>
      </c>
      <c r="B807" s="1">
        <v>12.7</v>
      </c>
      <c r="C807" s="1">
        <v>12.74</v>
      </c>
      <c r="D807" s="1">
        <v>12.24</v>
      </c>
      <c r="E807" s="1">
        <v>12.3</v>
      </c>
      <c r="F807" s="6">
        <f t="shared" si="1"/>
        <v>1</v>
      </c>
    </row>
    <row r="808" hidden="1">
      <c r="A808" s="2">
        <v>45462.0</v>
      </c>
      <c r="B808" s="1">
        <v>12.32</v>
      </c>
      <c r="C808" s="1">
        <v>12.55</v>
      </c>
      <c r="D808" s="1">
        <v>12.32</v>
      </c>
      <c r="E808" s="1">
        <v>12.48</v>
      </c>
      <c r="F808" s="6">
        <f t="shared" si="1"/>
        <v>2</v>
      </c>
    </row>
    <row r="809" hidden="1">
      <c r="A809" s="2">
        <v>45463.0</v>
      </c>
      <c r="B809" s="1">
        <v>12.5</v>
      </c>
      <c r="C809" s="1">
        <v>13.55</v>
      </c>
      <c r="D809" s="1">
        <v>12.18</v>
      </c>
      <c r="E809" s="1">
        <v>13.28</v>
      </c>
      <c r="F809" s="6">
        <f t="shared" si="1"/>
        <v>3</v>
      </c>
    </row>
    <row r="810" hidden="1">
      <c r="A810" s="2">
        <v>45464.0</v>
      </c>
      <c r="B810" s="1">
        <v>13.22</v>
      </c>
      <c r="C810" s="1">
        <v>13.78</v>
      </c>
      <c r="D810" s="1">
        <v>12.99</v>
      </c>
      <c r="E810" s="1">
        <v>13.2</v>
      </c>
      <c r="F810" s="6">
        <f t="shared" si="1"/>
        <v>4</v>
      </c>
    </row>
    <row r="811">
      <c r="A811" s="2">
        <v>45467.0</v>
      </c>
      <c r="B811" s="1">
        <v>13.85</v>
      </c>
      <c r="C811" s="1">
        <v>13.88</v>
      </c>
      <c r="D811" s="1">
        <v>13.15</v>
      </c>
      <c r="E811" s="1">
        <v>13.33</v>
      </c>
      <c r="F811" s="6">
        <f t="shared" si="1"/>
        <v>0</v>
      </c>
    </row>
    <row r="812" hidden="1">
      <c r="A812" s="2">
        <v>45468.0</v>
      </c>
      <c r="B812" s="1">
        <v>13.48</v>
      </c>
      <c r="C812" s="1">
        <v>13.52</v>
      </c>
      <c r="D812" s="1">
        <v>12.84</v>
      </c>
      <c r="E812" s="1">
        <v>12.84</v>
      </c>
      <c r="F812" s="6">
        <f t="shared" si="1"/>
        <v>1</v>
      </c>
    </row>
    <row r="813" hidden="1">
      <c r="A813" s="2">
        <v>45469.0</v>
      </c>
      <c r="B813" s="1">
        <v>12.81</v>
      </c>
      <c r="C813" s="1">
        <v>13.24</v>
      </c>
      <c r="D813" s="1">
        <v>12.37</v>
      </c>
      <c r="E813" s="1">
        <v>12.55</v>
      </c>
      <c r="F813" s="6">
        <f t="shared" si="1"/>
        <v>2</v>
      </c>
    </row>
    <row r="814" hidden="1">
      <c r="A814" s="2">
        <v>45470.0</v>
      </c>
      <c r="B814" s="1">
        <v>12.69</v>
      </c>
      <c r="C814" s="1">
        <v>12.77</v>
      </c>
      <c r="D814" s="1">
        <v>12.21</v>
      </c>
      <c r="E814" s="1">
        <v>12.24</v>
      </c>
      <c r="F814" s="6">
        <f t="shared" si="1"/>
        <v>3</v>
      </c>
    </row>
    <row r="815" hidden="1">
      <c r="A815" s="2">
        <v>45471.0</v>
      </c>
      <c r="B815" s="1">
        <v>12.24</v>
      </c>
      <c r="C815" s="1">
        <v>12.76</v>
      </c>
      <c r="D815" s="1">
        <v>11.87</v>
      </c>
      <c r="E815" s="1">
        <v>12.44</v>
      </c>
      <c r="F815" s="6">
        <f t="shared" si="1"/>
        <v>4</v>
      </c>
    </row>
    <row r="816">
      <c r="A816" s="2">
        <v>45474.0</v>
      </c>
      <c r="B816" s="1">
        <v>12.98</v>
      </c>
      <c r="C816" s="1">
        <v>13.26</v>
      </c>
      <c r="D816" s="1">
        <v>12.1</v>
      </c>
      <c r="E816" s="1">
        <v>12.22</v>
      </c>
      <c r="F816" s="6">
        <f t="shared" si="1"/>
        <v>0</v>
      </c>
    </row>
    <row r="817" hidden="1">
      <c r="A817" s="2">
        <v>45475.0</v>
      </c>
      <c r="B817" s="1">
        <v>12.67</v>
      </c>
      <c r="C817" s="1">
        <v>12.88</v>
      </c>
      <c r="D817" s="1">
        <v>11.85</v>
      </c>
      <c r="E817" s="1">
        <v>12.03</v>
      </c>
      <c r="F817" s="6">
        <f t="shared" si="1"/>
        <v>1</v>
      </c>
    </row>
    <row r="818" hidden="1">
      <c r="A818" s="2">
        <v>45476.0</v>
      </c>
      <c r="B818" s="1">
        <v>12.13</v>
      </c>
      <c r="C818" s="1">
        <v>12.23</v>
      </c>
      <c r="D818" s="1">
        <v>11.95</v>
      </c>
      <c r="E818" s="1">
        <v>12.09</v>
      </c>
      <c r="F818" s="6">
        <f t="shared" si="1"/>
        <v>2</v>
      </c>
    </row>
    <row r="819" hidden="1">
      <c r="A819" s="2">
        <v>45477.0</v>
      </c>
      <c r="B819" s="1">
        <v>12.1</v>
      </c>
      <c r="C819" s="1">
        <v>12.35</v>
      </c>
      <c r="D819" s="1">
        <v>12.09</v>
      </c>
      <c r="E819" s="1">
        <v>12.26</v>
      </c>
      <c r="F819" s="6">
        <f t="shared" si="1"/>
        <v>3</v>
      </c>
    </row>
    <row r="820" hidden="1">
      <c r="A820" s="2">
        <v>45478.0</v>
      </c>
      <c r="B820" s="1">
        <v>12.37</v>
      </c>
      <c r="C820" s="1">
        <v>12.61</v>
      </c>
      <c r="D820" s="1">
        <v>11.84</v>
      </c>
      <c r="E820" s="1">
        <v>12.48</v>
      </c>
      <c r="F820" s="6">
        <f t="shared" si="1"/>
        <v>4</v>
      </c>
    </row>
    <row r="821">
      <c r="A821" s="2">
        <v>45481.0</v>
      </c>
      <c r="B821" s="1">
        <v>12.91</v>
      </c>
      <c r="C821" s="1">
        <v>12.91</v>
      </c>
      <c r="D821" s="1">
        <v>12.31</v>
      </c>
      <c r="E821" s="1">
        <v>12.37</v>
      </c>
      <c r="F821" s="6">
        <f t="shared" si="1"/>
        <v>0</v>
      </c>
    </row>
    <row r="822" hidden="1">
      <c r="A822" s="2">
        <v>45482.0</v>
      </c>
      <c r="B822" s="1">
        <v>12.48</v>
      </c>
      <c r="C822" s="1">
        <v>12.61</v>
      </c>
      <c r="D822" s="1">
        <v>12.35</v>
      </c>
      <c r="E822" s="1">
        <v>12.51</v>
      </c>
      <c r="F822" s="6">
        <f t="shared" si="1"/>
        <v>1</v>
      </c>
    </row>
    <row r="823" hidden="1">
      <c r="A823" s="2">
        <v>45483.0</v>
      </c>
      <c r="B823" s="1">
        <v>12.51</v>
      </c>
      <c r="C823" s="1">
        <v>12.92</v>
      </c>
      <c r="D823" s="1">
        <v>12.39</v>
      </c>
      <c r="E823" s="1">
        <v>12.85</v>
      </c>
      <c r="F823" s="6">
        <f t="shared" si="1"/>
        <v>2</v>
      </c>
    </row>
    <row r="824" hidden="1">
      <c r="A824" s="2">
        <v>45484.0</v>
      </c>
      <c r="B824" s="1">
        <v>12.88</v>
      </c>
      <c r="C824" s="1">
        <v>13.33</v>
      </c>
      <c r="D824" s="1">
        <v>12.23</v>
      </c>
      <c r="E824" s="1">
        <v>12.92</v>
      </c>
      <c r="F824" s="6">
        <f t="shared" si="1"/>
        <v>3</v>
      </c>
    </row>
    <row r="825" hidden="1">
      <c r="A825" s="2">
        <v>45485.0</v>
      </c>
      <c r="B825" s="1">
        <v>12.87</v>
      </c>
      <c r="C825" s="1">
        <v>12.89</v>
      </c>
      <c r="D825" s="1">
        <v>12.11</v>
      </c>
      <c r="E825" s="1">
        <v>12.46</v>
      </c>
      <c r="F825" s="6">
        <f t="shared" si="1"/>
        <v>4</v>
      </c>
    </row>
    <row r="826">
      <c r="A826" s="2">
        <v>45488.0</v>
      </c>
      <c r="B826" s="1">
        <v>12.78</v>
      </c>
      <c r="C826" s="1">
        <v>13.26</v>
      </c>
      <c r="D826" s="1">
        <v>12.75</v>
      </c>
      <c r="E826" s="1">
        <v>13.12</v>
      </c>
      <c r="F826" s="6">
        <f t="shared" si="1"/>
        <v>0</v>
      </c>
    </row>
    <row r="827" hidden="1">
      <c r="A827" s="2">
        <v>45489.0</v>
      </c>
      <c r="B827" s="1">
        <v>13.38</v>
      </c>
      <c r="C827" s="1">
        <v>13.47</v>
      </c>
      <c r="D827" s="1">
        <v>12.95</v>
      </c>
      <c r="E827" s="1">
        <v>13.19</v>
      </c>
      <c r="F827" s="6">
        <f t="shared" si="1"/>
        <v>1</v>
      </c>
    </row>
    <row r="828" hidden="1">
      <c r="A828" s="2">
        <v>45490.0</v>
      </c>
      <c r="B828" s="1">
        <v>13.6</v>
      </c>
      <c r="C828" s="1">
        <v>14.88</v>
      </c>
      <c r="D828" s="1">
        <v>13.54</v>
      </c>
      <c r="E828" s="1">
        <v>14.48</v>
      </c>
      <c r="F828" s="6">
        <f t="shared" si="1"/>
        <v>2</v>
      </c>
    </row>
    <row r="829" hidden="1">
      <c r="A829" s="2">
        <v>45491.0</v>
      </c>
      <c r="B829" s="1">
        <v>14.27</v>
      </c>
      <c r="C829" s="1">
        <v>16.43</v>
      </c>
      <c r="D829" s="1">
        <v>14.08</v>
      </c>
      <c r="E829" s="1">
        <v>15.93</v>
      </c>
      <c r="F829" s="6">
        <f t="shared" si="1"/>
        <v>3</v>
      </c>
    </row>
    <row r="830" hidden="1">
      <c r="A830" s="2">
        <v>45492.0</v>
      </c>
      <c r="B830" s="1">
        <v>16.44</v>
      </c>
      <c r="C830" s="1">
        <v>17.19</v>
      </c>
      <c r="D830" s="1">
        <v>10.62</v>
      </c>
      <c r="E830" s="1">
        <v>16.52</v>
      </c>
      <c r="F830" s="6">
        <f t="shared" si="1"/>
        <v>4</v>
      </c>
    </row>
    <row r="831">
      <c r="A831" s="2">
        <v>45495.0</v>
      </c>
      <c r="B831" s="1">
        <v>16.79</v>
      </c>
      <c r="C831" s="1">
        <v>16.89</v>
      </c>
      <c r="D831" s="1">
        <v>14.75</v>
      </c>
      <c r="E831" s="1">
        <v>14.91</v>
      </c>
      <c r="F831" s="6">
        <f t="shared" si="1"/>
        <v>0</v>
      </c>
    </row>
    <row r="832" hidden="1">
      <c r="A832" s="2">
        <v>45496.0</v>
      </c>
      <c r="B832" s="1">
        <v>15.21</v>
      </c>
      <c r="C832" s="1">
        <v>15.35</v>
      </c>
      <c r="D832" s="1">
        <v>13.9</v>
      </c>
      <c r="E832" s="1">
        <v>14.72</v>
      </c>
      <c r="F832" s="6">
        <f t="shared" si="1"/>
        <v>1</v>
      </c>
    </row>
    <row r="833" hidden="1">
      <c r="A833" s="2">
        <v>45497.0</v>
      </c>
      <c r="B833" s="1">
        <v>15.35</v>
      </c>
      <c r="C833" s="1">
        <v>18.46</v>
      </c>
      <c r="D833" s="1">
        <v>15.18</v>
      </c>
      <c r="E833" s="1">
        <v>18.04</v>
      </c>
      <c r="F833" s="6">
        <f t="shared" si="1"/>
        <v>2</v>
      </c>
    </row>
    <row r="834" hidden="1">
      <c r="A834" s="2">
        <v>45498.0</v>
      </c>
      <c r="B834" s="1">
        <v>18.41</v>
      </c>
      <c r="C834" s="1">
        <v>19.36</v>
      </c>
      <c r="D834" s="1">
        <v>16.42</v>
      </c>
      <c r="E834" s="1">
        <v>18.46</v>
      </c>
      <c r="F834" s="6">
        <f t="shared" si="1"/>
        <v>3</v>
      </c>
    </row>
    <row r="835" hidden="1">
      <c r="A835" s="2">
        <v>45499.0</v>
      </c>
      <c r="B835" s="1">
        <v>17.97</v>
      </c>
      <c r="C835" s="1">
        <v>18.05</v>
      </c>
      <c r="D835" s="1">
        <v>16.37</v>
      </c>
      <c r="E835" s="1">
        <v>16.39</v>
      </c>
      <c r="F835" s="6">
        <f t="shared" si="1"/>
        <v>4</v>
      </c>
    </row>
    <row r="836">
      <c r="A836" s="2">
        <v>45502.0</v>
      </c>
      <c r="B836" s="1">
        <v>16.59</v>
      </c>
      <c r="C836" s="1">
        <v>17.21</v>
      </c>
      <c r="D836" s="1">
        <v>16.23</v>
      </c>
      <c r="E836" s="1">
        <v>16.6</v>
      </c>
      <c r="F836" s="6">
        <f t="shared" si="1"/>
        <v>0</v>
      </c>
    </row>
    <row r="837" hidden="1">
      <c r="A837" s="2">
        <v>45503.0</v>
      </c>
      <c r="B837" s="1">
        <v>16.64</v>
      </c>
      <c r="C837" s="1">
        <v>18.32</v>
      </c>
      <c r="D837" s="1">
        <v>16.26</v>
      </c>
      <c r="E837" s="1">
        <v>17.69</v>
      </c>
      <c r="F837" s="6">
        <f t="shared" si="1"/>
        <v>1</v>
      </c>
    </row>
    <row r="838" hidden="1">
      <c r="A838" s="2">
        <v>45504.0</v>
      </c>
      <c r="B838" s="1">
        <v>16.66</v>
      </c>
      <c r="C838" s="1">
        <v>16.77</v>
      </c>
      <c r="D838" s="1">
        <v>15.71</v>
      </c>
      <c r="E838" s="1">
        <v>16.36</v>
      </c>
      <c r="F838" s="6">
        <f t="shared" si="1"/>
        <v>2</v>
      </c>
    </row>
    <row r="839" hidden="1">
      <c r="A839" s="2">
        <v>45505.0</v>
      </c>
      <c r="B839" s="1">
        <v>16.2</v>
      </c>
      <c r="C839" s="1">
        <v>19.48</v>
      </c>
      <c r="D839" s="1">
        <v>15.95</v>
      </c>
      <c r="E839" s="1">
        <v>18.59</v>
      </c>
      <c r="F839" s="6">
        <f t="shared" si="1"/>
        <v>3</v>
      </c>
    </row>
    <row r="840" hidden="1">
      <c r="A840" s="2">
        <v>45506.0</v>
      </c>
      <c r="B840" s="1">
        <v>20.52</v>
      </c>
      <c r="C840" s="1">
        <v>29.66</v>
      </c>
      <c r="D840" s="1">
        <v>20.01</v>
      </c>
      <c r="E840" s="1">
        <v>23.39</v>
      </c>
      <c r="F840" s="6">
        <f t="shared" si="1"/>
        <v>4</v>
      </c>
    </row>
    <row r="841">
      <c r="A841" s="2">
        <v>45509.0</v>
      </c>
      <c r="B841" s="1">
        <v>23.39</v>
      </c>
      <c r="C841" s="1">
        <v>65.73</v>
      </c>
      <c r="D841" s="1">
        <v>23.39</v>
      </c>
      <c r="E841" s="1">
        <v>38.57</v>
      </c>
      <c r="F841" s="6">
        <f t="shared" si="1"/>
        <v>0</v>
      </c>
    </row>
    <row r="842" hidden="1">
      <c r="A842" s="2">
        <v>45510.0</v>
      </c>
      <c r="B842" s="1">
        <v>33.71</v>
      </c>
      <c r="C842" s="1">
        <v>34.77</v>
      </c>
      <c r="D842" s="1">
        <v>24.02</v>
      </c>
      <c r="E842" s="1">
        <v>27.71</v>
      </c>
      <c r="F842" s="6">
        <f t="shared" si="1"/>
        <v>1</v>
      </c>
    </row>
    <row r="843" hidden="1">
      <c r="A843" s="2">
        <v>45511.0</v>
      </c>
      <c r="B843" s="1">
        <v>24.77</v>
      </c>
      <c r="C843" s="1">
        <v>29.76</v>
      </c>
      <c r="D843" s="1">
        <v>21.97</v>
      </c>
      <c r="E843" s="1">
        <v>27.85</v>
      </c>
      <c r="F843" s="6">
        <f t="shared" si="1"/>
        <v>2</v>
      </c>
    </row>
    <row r="844" hidden="1">
      <c r="A844" s="2">
        <v>45512.0</v>
      </c>
      <c r="B844" s="1">
        <v>28.34</v>
      </c>
      <c r="C844" s="1">
        <v>29.47</v>
      </c>
      <c r="D844" s="1">
        <v>23.36</v>
      </c>
      <c r="E844" s="1">
        <v>23.79</v>
      </c>
      <c r="F844" s="6">
        <f t="shared" si="1"/>
        <v>3</v>
      </c>
    </row>
    <row r="845" hidden="1">
      <c r="A845" s="2">
        <v>45513.0</v>
      </c>
      <c r="B845" s="1">
        <v>23.78</v>
      </c>
      <c r="C845" s="1">
        <v>24.52</v>
      </c>
      <c r="D845" s="1">
        <v>20.26</v>
      </c>
      <c r="E845" s="1">
        <v>20.37</v>
      </c>
      <c r="F845" s="6">
        <f t="shared" si="1"/>
        <v>4</v>
      </c>
    </row>
    <row r="846">
      <c r="A846" s="2">
        <v>45516.0</v>
      </c>
      <c r="B846" s="1">
        <v>20.79</v>
      </c>
      <c r="C846" s="1">
        <v>21.19</v>
      </c>
      <c r="D846" s="1">
        <v>18.89</v>
      </c>
      <c r="E846" s="1">
        <v>20.71</v>
      </c>
      <c r="F846" s="6">
        <f t="shared" si="1"/>
        <v>0</v>
      </c>
    </row>
    <row r="847" hidden="1">
      <c r="A847" s="2">
        <v>45517.0</v>
      </c>
      <c r="B847" s="1">
        <v>20.06</v>
      </c>
      <c r="C847" s="1">
        <v>20.79</v>
      </c>
      <c r="D847" s="1">
        <v>17.95</v>
      </c>
      <c r="E847" s="1">
        <v>18.12</v>
      </c>
      <c r="F847" s="6">
        <f t="shared" si="1"/>
        <v>1</v>
      </c>
    </row>
    <row r="848" hidden="1">
      <c r="A848" s="2">
        <v>45518.0</v>
      </c>
      <c r="B848" s="1">
        <v>18.41</v>
      </c>
      <c r="C848" s="1">
        <v>18.49</v>
      </c>
      <c r="D848" s="1">
        <v>16.12</v>
      </c>
      <c r="E848" s="1">
        <v>16.19</v>
      </c>
      <c r="F848" s="6">
        <f t="shared" si="1"/>
        <v>2</v>
      </c>
    </row>
    <row r="849" hidden="1">
      <c r="A849" s="2">
        <v>45519.0</v>
      </c>
      <c r="B849" s="1">
        <v>16.27</v>
      </c>
      <c r="C849" s="1">
        <v>16.68</v>
      </c>
      <c r="D849" s="1">
        <v>14.77</v>
      </c>
      <c r="E849" s="1">
        <v>15.23</v>
      </c>
      <c r="F849" s="6">
        <f t="shared" si="1"/>
        <v>3</v>
      </c>
    </row>
    <row r="850" hidden="1">
      <c r="A850" s="2">
        <v>45520.0</v>
      </c>
      <c r="B850" s="1">
        <v>15.29</v>
      </c>
      <c r="C850" s="1">
        <v>15.76</v>
      </c>
      <c r="D850" s="1">
        <v>14.65</v>
      </c>
      <c r="E850" s="1">
        <v>14.8</v>
      </c>
      <c r="F850" s="6">
        <f t="shared" si="1"/>
        <v>4</v>
      </c>
    </row>
    <row r="851">
      <c r="A851" s="2">
        <v>45523.0</v>
      </c>
      <c r="B851" s="1">
        <v>15.94</v>
      </c>
      <c r="C851" s="1">
        <v>16.07</v>
      </c>
      <c r="D851" s="1">
        <v>14.46</v>
      </c>
      <c r="E851" s="1">
        <v>14.65</v>
      </c>
      <c r="F851" s="6">
        <f t="shared" si="1"/>
        <v>0</v>
      </c>
    </row>
    <row r="852" hidden="1">
      <c r="A852" s="2">
        <v>45524.0</v>
      </c>
      <c r="B852" s="1">
        <v>14.89</v>
      </c>
      <c r="C852" s="1">
        <v>15.93</v>
      </c>
      <c r="D852" s="1">
        <v>14.78</v>
      </c>
      <c r="E852" s="1">
        <v>15.88</v>
      </c>
      <c r="F852" s="6">
        <f t="shared" si="1"/>
        <v>1</v>
      </c>
    </row>
    <row r="853" hidden="1">
      <c r="A853" s="2">
        <v>45525.0</v>
      </c>
      <c r="B853" s="1">
        <v>16.25</v>
      </c>
      <c r="C853" s="1">
        <v>17.17</v>
      </c>
      <c r="D853" s="1">
        <v>15.92</v>
      </c>
      <c r="E853" s="1">
        <v>16.27</v>
      </c>
      <c r="F853" s="6">
        <f t="shared" si="1"/>
        <v>2</v>
      </c>
    </row>
    <row r="854" hidden="1">
      <c r="A854" s="2">
        <v>45526.0</v>
      </c>
      <c r="B854" s="1">
        <v>16.27</v>
      </c>
      <c r="C854" s="1">
        <v>18.06</v>
      </c>
      <c r="D854" s="1">
        <v>15.76</v>
      </c>
      <c r="E854" s="1">
        <v>17.55</v>
      </c>
      <c r="F854" s="6">
        <f t="shared" si="1"/>
        <v>3</v>
      </c>
    </row>
    <row r="855" hidden="1">
      <c r="A855" s="2">
        <v>45527.0</v>
      </c>
      <c r="B855" s="1">
        <v>17.12</v>
      </c>
      <c r="C855" s="1">
        <v>17.21</v>
      </c>
      <c r="D855" s="1">
        <v>15.61</v>
      </c>
      <c r="E855" s="1">
        <v>15.86</v>
      </c>
      <c r="F855" s="6">
        <f t="shared" si="1"/>
        <v>4</v>
      </c>
    </row>
    <row r="856">
      <c r="A856" s="2">
        <v>45530.0</v>
      </c>
      <c r="B856" s="1">
        <v>16.27</v>
      </c>
      <c r="C856" s="1">
        <v>16.67</v>
      </c>
      <c r="D856" s="1">
        <v>15.81</v>
      </c>
      <c r="E856" s="1">
        <v>16.15</v>
      </c>
      <c r="F856" s="6">
        <f t="shared" si="1"/>
        <v>0</v>
      </c>
    </row>
    <row r="857" hidden="1">
      <c r="A857" s="2">
        <v>45531.0</v>
      </c>
      <c r="B857" s="1">
        <v>16.21</v>
      </c>
      <c r="C857" s="1">
        <v>16.81</v>
      </c>
      <c r="D857" s="1">
        <v>15.37</v>
      </c>
      <c r="E857" s="1">
        <v>15.43</v>
      </c>
      <c r="F857" s="6">
        <f t="shared" si="1"/>
        <v>1</v>
      </c>
    </row>
    <row r="858" hidden="1">
      <c r="A858" s="2">
        <v>45532.0</v>
      </c>
      <c r="B858" s="1">
        <v>15.51</v>
      </c>
      <c r="C858" s="1">
        <v>17.89</v>
      </c>
      <c r="D858" s="1">
        <v>15.46</v>
      </c>
      <c r="E858" s="1">
        <v>17.11</v>
      </c>
      <c r="F858" s="6">
        <f t="shared" si="1"/>
        <v>2</v>
      </c>
    </row>
    <row r="859" hidden="1">
      <c r="A859" s="2">
        <v>45533.0</v>
      </c>
      <c r="B859" s="1">
        <v>16.54</v>
      </c>
      <c r="C859" s="1">
        <v>16.57</v>
      </c>
      <c r="D859" s="1">
        <v>15.19</v>
      </c>
      <c r="E859" s="1">
        <v>15.65</v>
      </c>
      <c r="F859" s="6">
        <f t="shared" si="1"/>
        <v>3</v>
      </c>
    </row>
    <row r="860" hidden="1">
      <c r="A860" s="2">
        <v>45534.0</v>
      </c>
      <c r="B860" s="1">
        <v>15.67</v>
      </c>
      <c r="C860" s="1">
        <v>16.04</v>
      </c>
      <c r="D860" s="1">
        <v>14.78</v>
      </c>
      <c r="E860" s="1">
        <v>15.0</v>
      </c>
      <c r="F860" s="6">
        <f t="shared" si="1"/>
        <v>4</v>
      </c>
    </row>
    <row r="861">
      <c r="A861" s="2">
        <v>45537.0</v>
      </c>
      <c r="B861" s="1">
        <v>15.87</v>
      </c>
      <c r="C861" s="1">
        <v>15.99</v>
      </c>
      <c r="D861" s="1">
        <v>15.48</v>
      </c>
      <c r="E861" s="1">
        <v>15.55</v>
      </c>
      <c r="F861" s="6">
        <f t="shared" si="1"/>
        <v>0</v>
      </c>
    </row>
    <row r="862" hidden="1">
      <c r="A862" s="2">
        <v>45538.0</v>
      </c>
      <c r="B862" s="1">
        <v>15.76</v>
      </c>
      <c r="C862" s="1">
        <v>21.99</v>
      </c>
      <c r="D862" s="1">
        <v>15.71</v>
      </c>
      <c r="E862" s="1">
        <v>20.72</v>
      </c>
      <c r="F862" s="6">
        <f t="shared" si="1"/>
        <v>1</v>
      </c>
    </row>
    <row r="863" hidden="1">
      <c r="A863" s="2">
        <v>45539.0</v>
      </c>
      <c r="B863" s="1">
        <v>23.2</v>
      </c>
      <c r="C863" s="1">
        <v>23.31</v>
      </c>
      <c r="D863" s="1">
        <v>19.34</v>
      </c>
      <c r="E863" s="1">
        <v>21.32</v>
      </c>
      <c r="F863" s="6">
        <f t="shared" si="1"/>
        <v>2</v>
      </c>
    </row>
    <row r="864" hidden="1">
      <c r="A864" s="2">
        <v>45540.0</v>
      </c>
      <c r="B864" s="1">
        <v>20.75</v>
      </c>
      <c r="C864" s="1">
        <v>21.53</v>
      </c>
      <c r="D864" s="1">
        <v>19.21</v>
      </c>
      <c r="E864" s="1">
        <v>19.9</v>
      </c>
      <c r="F864" s="6">
        <f t="shared" si="1"/>
        <v>3</v>
      </c>
    </row>
    <row r="865" hidden="1">
      <c r="A865" s="2">
        <v>45541.0</v>
      </c>
      <c r="B865" s="1">
        <v>21.98</v>
      </c>
      <c r="C865" s="1">
        <v>23.76</v>
      </c>
      <c r="D865" s="1">
        <v>18.83</v>
      </c>
      <c r="E865" s="1">
        <v>22.38</v>
      </c>
      <c r="F865" s="6">
        <f t="shared" si="1"/>
        <v>4</v>
      </c>
    </row>
    <row r="866">
      <c r="A866" s="2">
        <v>45544.0</v>
      </c>
      <c r="B866" s="1">
        <v>21.32</v>
      </c>
      <c r="C866" s="1">
        <v>21.41</v>
      </c>
      <c r="D866" s="1">
        <v>19.29</v>
      </c>
      <c r="E866" s="1">
        <v>19.45</v>
      </c>
      <c r="F866" s="6">
        <f t="shared" si="1"/>
        <v>0</v>
      </c>
    </row>
    <row r="867" hidden="1">
      <c r="A867" s="2">
        <v>45545.0</v>
      </c>
      <c r="B867" s="1">
        <v>19.86</v>
      </c>
      <c r="C867" s="1">
        <v>20.74</v>
      </c>
      <c r="D867" s="1">
        <v>18.9</v>
      </c>
      <c r="E867" s="1">
        <v>19.08</v>
      </c>
      <c r="F867" s="6">
        <f t="shared" si="1"/>
        <v>1</v>
      </c>
    </row>
    <row r="868" hidden="1">
      <c r="A868" s="2">
        <v>45546.0</v>
      </c>
      <c r="B868" s="1">
        <v>19.41</v>
      </c>
      <c r="C868" s="1">
        <v>21.41</v>
      </c>
      <c r="D868" s="1">
        <v>17.55</v>
      </c>
      <c r="E868" s="1">
        <v>17.69</v>
      </c>
      <c r="F868" s="6">
        <f t="shared" si="1"/>
        <v>2</v>
      </c>
    </row>
    <row r="869" hidden="1">
      <c r="A869" s="2">
        <v>45547.0</v>
      </c>
      <c r="B869" s="1">
        <v>17.62</v>
      </c>
      <c r="C869" s="1">
        <v>18.59</v>
      </c>
      <c r="D869" s="1">
        <v>16.89</v>
      </c>
      <c r="E869" s="1">
        <v>17.07</v>
      </c>
      <c r="F869" s="6">
        <f t="shared" si="1"/>
        <v>3</v>
      </c>
    </row>
    <row r="870" hidden="1">
      <c r="A870" s="2">
        <v>45548.0</v>
      </c>
      <c r="B870" s="1">
        <v>17.03</v>
      </c>
      <c r="C870" s="1">
        <v>17.18</v>
      </c>
      <c r="D870" s="1">
        <v>16.23</v>
      </c>
      <c r="E870" s="1">
        <v>16.56</v>
      </c>
      <c r="F870" s="6">
        <f t="shared" si="1"/>
        <v>4</v>
      </c>
    </row>
    <row r="871">
      <c r="A871" s="2">
        <v>45551.0</v>
      </c>
      <c r="B871" s="1">
        <v>17.16</v>
      </c>
      <c r="C871" s="1">
        <v>17.69</v>
      </c>
      <c r="D871" s="1">
        <v>16.91</v>
      </c>
      <c r="E871" s="1">
        <v>17.14</v>
      </c>
      <c r="F871" s="6">
        <f t="shared" si="1"/>
        <v>0</v>
      </c>
    </row>
    <row r="872" hidden="1">
      <c r="A872" s="2">
        <v>45552.0</v>
      </c>
      <c r="B872" s="1">
        <v>17.16</v>
      </c>
      <c r="C872" s="1">
        <v>18.08</v>
      </c>
      <c r="D872" s="1">
        <v>16.67</v>
      </c>
      <c r="E872" s="1">
        <v>17.61</v>
      </c>
      <c r="F872" s="6">
        <f t="shared" si="1"/>
        <v>1</v>
      </c>
    </row>
    <row r="873" hidden="1">
      <c r="A873" s="2">
        <v>45553.0</v>
      </c>
      <c r="B873" s="1">
        <v>17.58</v>
      </c>
      <c r="C873" s="1">
        <v>19.39</v>
      </c>
      <c r="D873" s="1">
        <v>17.11</v>
      </c>
      <c r="E873" s="1">
        <v>18.23</v>
      </c>
      <c r="F873" s="6">
        <f t="shared" si="1"/>
        <v>2</v>
      </c>
    </row>
    <row r="874" hidden="1">
      <c r="A874" s="2">
        <v>45554.0</v>
      </c>
      <c r="B874" s="1">
        <v>17.21</v>
      </c>
      <c r="C874" s="1">
        <v>17.27</v>
      </c>
      <c r="D874" s="1">
        <v>16.21</v>
      </c>
      <c r="E874" s="1">
        <v>16.33</v>
      </c>
      <c r="F874" s="6">
        <f t="shared" si="1"/>
        <v>3</v>
      </c>
    </row>
    <row r="875" hidden="1">
      <c r="A875" s="2">
        <v>45555.0</v>
      </c>
      <c r="B875" s="1">
        <v>16.35</v>
      </c>
      <c r="C875" s="1">
        <v>16.68</v>
      </c>
      <c r="D875" s="1">
        <v>15.81</v>
      </c>
      <c r="E875" s="1">
        <v>16.15</v>
      </c>
      <c r="F875" s="6">
        <f t="shared" si="1"/>
        <v>4</v>
      </c>
    </row>
    <row r="876">
      <c r="A876" s="2">
        <v>45558.0</v>
      </c>
      <c r="B876" s="1">
        <v>16.71</v>
      </c>
      <c r="C876" s="1">
        <v>16.95</v>
      </c>
      <c r="D876" s="1">
        <v>15.75</v>
      </c>
      <c r="E876" s="1">
        <v>15.89</v>
      </c>
      <c r="F876" s="6">
        <f t="shared" si="1"/>
        <v>0</v>
      </c>
    </row>
    <row r="877" hidden="1">
      <c r="A877" s="2">
        <v>45559.0</v>
      </c>
      <c r="B877" s="1">
        <v>15.87</v>
      </c>
      <c r="C877" s="1">
        <v>16.67</v>
      </c>
      <c r="D877" s="1">
        <v>15.27</v>
      </c>
      <c r="E877" s="1">
        <v>15.39</v>
      </c>
      <c r="F877" s="6">
        <f t="shared" si="1"/>
        <v>1</v>
      </c>
    </row>
    <row r="878" hidden="1">
      <c r="A878" s="2">
        <v>45560.0</v>
      </c>
      <c r="B878" s="1">
        <v>15.82</v>
      </c>
      <c r="C878" s="1">
        <v>15.82</v>
      </c>
      <c r="D878" s="1">
        <v>15.17</v>
      </c>
      <c r="E878" s="1">
        <v>15.41</v>
      </c>
      <c r="F878" s="6">
        <f t="shared" si="1"/>
        <v>2</v>
      </c>
    </row>
    <row r="879" hidden="1">
      <c r="A879" s="2">
        <v>45561.0</v>
      </c>
      <c r="B879" s="1">
        <v>15.06</v>
      </c>
      <c r="C879" s="1">
        <v>15.83</v>
      </c>
      <c r="D879" s="1">
        <v>14.9</v>
      </c>
      <c r="E879" s="1">
        <v>15.37</v>
      </c>
      <c r="F879" s="6">
        <f t="shared" si="1"/>
        <v>3</v>
      </c>
    </row>
    <row r="880" hidden="1">
      <c r="A880" s="2">
        <v>45562.0</v>
      </c>
      <c r="B880" s="1">
        <v>15.64</v>
      </c>
      <c r="C880" s="1">
        <v>16.97</v>
      </c>
      <c r="D880" s="1">
        <v>15.2</v>
      </c>
      <c r="E880" s="1">
        <v>16.96</v>
      </c>
      <c r="F880" s="6">
        <f t="shared" si="1"/>
        <v>4</v>
      </c>
    </row>
    <row r="881">
      <c r="A881" s="2">
        <v>45565.0</v>
      </c>
      <c r="B881" s="1">
        <v>17.01</v>
      </c>
      <c r="C881" s="1">
        <v>17.79</v>
      </c>
      <c r="D881" s="1">
        <v>16.47</v>
      </c>
      <c r="E881" s="1">
        <v>16.73</v>
      </c>
      <c r="F881" s="6">
        <f t="shared" si="1"/>
        <v>0</v>
      </c>
    </row>
    <row r="882" hidden="1">
      <c r="A882" s="2">
        <v>45566.0</v>
      </c>
      <c r="B882" s="1">
        <v>16.96</v>
      </c>
      <c r="C882" s="1">
        <v>20.73</v>
      </c>
      <c r="D882" s="1">
        <v>16.61</v>
      </c>
      <c r="E882" s="1">
        <v>19.26</v>
      </c>
      <c r="F882" s="6">
        <f t="shared" si="1"/>
        <v>1</v>
      </c>
    </row>
    <row r="883" hidden="1">
      <c r="A883" s="2">
        <v>45567.0</v>
      </c>
      <c r="B883" s="1">
        <v>19.65</v>
      </c>
      <c r="C883" s="1">
        <v>20.36</v>
      </c>
      <c r="D883" s="1">
        <v>18.58</v>
      </c>
      <c r="E883" s="1">
        <v>18.9</v>
      </c>
      <c r="F883" s="6">
        <f t="shared" si="1"/>
        <v>2</v>
      </c>
    </row>
    <row r="884" hidden="1">
      <c r="A884" s="2">
        <v>45568.0</v>
      </c>
      <c r="B884" s="1">
        <v>19.63</v>
      </c>
      <c r="C884" s="1">
        <v>20.75</v>
      </c>
      <c r="D884" s="1">
        <v>19.16</v>
      </c>
      <c r="E884" s="1">
        <v>20.49</v>
      </c>
      <c r="F884" s="6">
        <f t="shared" si="1"/>
        <v>3</v>
      </c>
    </row>
    <row r="885" hidden="1">
      <c r="A885" s="2">
        <v>45569.0</v>
      </c>
      <c r="B885" s="1">
        <v>20.48</v>
      </c>
      <c r="C885" s="1">
        <v>20.48</v>
      </c>
      <c r="D885" s="1">
        <v>18.48</v>
      </c>
      <c r="E885" s="1">
        <v>19.21</v>
      </c>
      <c r="F885" s="6">
        <f t="shared" si="1"/>
        <v>4</v>
      </c>
    </row>
    <row r="886">
      <c r="A886" s="2">
        <v>45572.0</v>
      </c>
      <c r="B886" s="1">
        <v>20.76</v>
      </c>
      <c r="C886" s="1">
        <v>23.03</v>
      </c>
      <c r="D886" s="1">
        <v>20.65</v>
      </c>
      <c r="E886" s="1">
        <v>22.64</v>
      </c>
      <c r="F886" s="6">
        <f t="shared" si="1"/>
        <v>0</v>
      </c>
    </row>
    <row r="887" hidden="1">
      <c r="A887" s="2">
        <v>45573.0</v>
      </c>
      <c r="B887" s="1">
        <v>22.92</v>
      </c>
      <c r="C887" s="1">
        <v>23.14</v>
      </c>
      <c r="D887" s="1">
        <v>21.14</v>
      </c>
      <c r="E887" s="1">
        <v>21.42</v>
      </c>
      <c r="F887" s="6">
        <f t="shared" si="1"/>
        <v>1</v>
      </c>
    </row>
    <row r="888" hidden="1">
      <c r="A888" s="2">
        <v>45574.0</v>
      </c>
      <c r="B888" s="1">
        <v>21.98</v>
      </c>
      <c r="C888" s="1">
        <v>22.01</v>
      </c>
      <c r="D888" s="1">
        <v>20.71</v>
      </c>
      <c r="E888" s="1">
        <v>20.86</v>
      </c>
      <c r="F888" s="6">
        <f t="shared" si="1"/>
        <v>2</v>
      </c>
    </row>
    <row r="889" hidden="1">
      <c r="A889" s="5">
        <v>45575.0</v>
      </c>
      <c r="B889" s="1">
        <v>20.91</v>
      </c>
      <c r="C889" s="1">
        <v>21.39</v>
      </c>
      <c r="D889" s="1">
        <v>20.64</v>
      </c>
      <c r="E889" s="1">
        <v>20.93</v>
      </c>
      <c r="F889" s="6">
        <f t="shared" si="1"/>
        <v>3</v>
      </c>
    </row>
    <row r="890" hidden="1">
      <c r="A890" s="5">
        <v>45576.0</v>
      </c>
      <c r="B890" s="1">
        <v>20.87</v>
      </c>
      <c r="C890" s="1">
        <v>21.16</v>
      </c>
      <c r="D890" s="1">
        <v>20.14</v>
      </c>
      <c r="E890" s="1">
        <v>20.46</v>
      </c>
      <c r="F890" s="6">
        <f t="shared" si="1"/>
        <v>4</v>
      </c>
    </row>
    <row r="891">
      <c r="A891" s="5">
        <v>45579.0</v>
      </c>
      <c r="B891" s="1">
        <v>20.86</v>
      </c>
      <c r="C891" s="1">
        <v>20.86</v>
      </c>
      <c r="D891" s="1">
        <v>19.69</v>
      </c>
      <c r="E891" s="1">
        <v>19.7</v>
      </c>
      <c r="F891" s="6">
        <f t="shared" si="1"/>
        <v>0</v>
      </c>
    </row>
    <row r="892" hidden="1">
      <c r="A892" s="5">
        <v>45580.0</v>
      </c>
      <c r="B892" s="1">
        <v>19.61</v>
      </c>
      <c r="C892" s="1">
        <v>20.89</v>
      </c>
      <c r="D892" s="1">
        <v>19.44</v>
      </c>
      <c r="E892" s="1">
        <v>20.64</v>
      </c>
      <c r="F892" s="6">
        <f t="shared" si="1"/>
        <v>1</v>
      </c>
    </row>
    <row r="893" hidden="1">
      <c r="A893" s="5">
        <v>45581.0</v>
      </c>
      <c r="B893" s="1">
        <v>20.77</v>
      </c>
      <c r="C893" s="1">
        <v>21.01</v>
      </c>
      <c r="D893" s="1">
        <v>19.45</v>
      </c>
      <c r="E893" s="1">
        <v>19.58</v>
      </c>
      <c r="F893" s="6">
        <f t="shared" si="1"/>
        <v>2</v>
      </c>
    </row>
    <row r="894" hidden="1">
      <c r="A894" s="5">
        <v>45582.0</v>
      </c>
      <c r="B894" s="1">
        <v>19.55</v>
      </c>
      <c r="C894" s="1">
        <v>19.65</v>
      </c>
      <c r="D894" s="1">
        <v>18.88</v>
      </c>
      <c r="E894" s="1">
        <v>19.11</v>
      </c>
      <c r="F894" s="6">
        <f t="shared" si="1"/>
        <v>3</v>
      </c>
    </row>
    <row r="895" hidden="1">
      <c r="A895" s="5">
        <v>45583.0</v>
      </c>
      <c r="B895" s="1">
        <v>19.3</v>
      </c>
      <c r="C895" s="1">
        <v>19.32</v>
      </c>
      <c r="D895" s="1">
        <v>17.99</v>
      </c>
      <c r="E895" s="1">
        <v>18.03</v>
      </c>
      <c r="F895" s="6">
        <f t="shared" si="1"/>
        <v>4</v>
      </c>
    </row>
    <row r="896">
      <c r="A896" s="5">
        <v>45586.0</v>
      </c>
      <c r="B896" s="1">
        <v>18.78</v>
      </c>
      <c r="C896" s="1">
        <v>19.34</v>
      </c>
      <c r="D896" s="1">
        <v>18.36</v>
      </c>
      <c r="E896" s="1">
        <v>18.37</v>
      </c>
      <c r="F896" s="6">
        <f t="shared" si="1"/>
        <v>0</v>
      </c>
    </row>
    <row r="897" hidden="1">
      <c r="A897" s="5">
        <v>45587.0</v>
      </c>
      <c r="B897" s="1">
        <v>18.79</v>
      </c>
      <c r="C897" s="1">
        <v>19.44</v>
      </c>
      <c r="D897" s="1">
        <v>18.05</v>
      </c>
      <c r="E897" s="1">
        <v>18.2</v>
      </c>
      <c r="F897" s="6">
        <f t="shared" si="1"/>
        <v>1</v>
      </c>
    </row>
    <row r="898" hidden="1">
      <c r="A898" s="5">
        <v>45588.0</v>
      </c>
      <c r="B898" s="1">
        <v>18.21</v>
      </c>
      <c r="C898" s="1">
        <v>20.47</v>
      </c>
      <c r="D898" s="1">
        <v>18.18</v>
      </c>
      <c r="E898" s="1">
        <v>19.24</v>
      </c>
      <c r="F898" s="6">
        <f t="shared" si="1"/>
        <v>2</v>
      </c>
    </row>
    <row r="899" hidden="1">
      <c r="A899" s="5">
        <v>45589.0</v>
      </c>
      <c r="B899" s="1">
        <v>18.87</v>
      </c>
      <c r="C899" s="1">
        <v>20.24</v>
      </c>
      <c r="D899" s="1">
        <v>18.63</v>
      </c>
      <c r="E899" s="1">
        <v>19.08</v>
      </c>
      <c r="F899" s="6">
        <f t="shared" si="1"/>
        <v>3</v>
      </c>
    </row>
    <row r="900" hidden="1">
      <c r="A900" s="5">
        <v>45590.0</v>
      </c>
      <c r="B900" s="1">
        <v>19.22</v>
      </c>
      <c r="C900" s="1">
        <v>20.51</v>
      </c>
      <c r="D900" s="1">
        <v>18.23</v>
      </c>
      <c r="E900" s="1">
        <v>20.33</v>
      </c>
      <c r="F900" s="6">
        <f t="shared" si="1"/>
        <v>4</v>
      </c>
    </row>
    <row r="901">
      <c r="A901" s="5">
        <v>45593.0</v>
      </c>
      <c r="B901" s="1">
        <v>19.11</v>
      </c>
      <c r="C901" s="1">
        <v>19.88</v>
      </c>
      <c r="D901" s="1">
        <v>18.91</v>
      </c>
      <c r="E901" s="1">
        <v>19.8</v>
      </c>
      <c r="F901" s="6">
        <f t="shared" si="1"/>
        <v>0</v>
      </c>
    </row>
    <row r="902" hidden="1">
      <c r="A902" s="5">
        <v>45594.0</v>
      </c>
      <c r="B902" s="1">
        <v>19.75</v>
      </c>
      <c r="C902" s="1">
        <v>20.53</v>
      </c>
      <c r="D902" s="1">
        <v>19.06</v>
      </c>
      <c r="E902" s="1">
        <v>19.34</v>
      </c>
      <c r="F902" s="6">
        <f t="shared" si="1"/>
        <v>1</v>
      </c>
    </row>
    <row r="903" hidden="1">
      <c r="A903" s="5">
        <v>45595.0</v>
      </c>
      <c r="B903" s="1">
        <v>19.33</v>
      </c>
      <c r="C903" s="1">
        <v>20.44</v>
      </c>
      <c r="D903" s="1">
        <v>19.3</v>
      </c>
      <c r="E903" s="1">
        <v>20.35</v>
      </c>
      <c r="F903" s="6">
        <f t="shared" si="1"/>
        <v>2</v>
      </c>
    </row>
    <row r="904" hidden="1">
      <c r="A904" s="5">
        <v>45596.0</v>
      </c>
      <c r="B904" s="1">
        <v>21.44</v>
      </c>
      <c r="C904" s="1">
        <v>23.42</v>
      </c>
      <c r="D904" s="1">
        <v>21.12</v>
      </c>
      <c r="E904" s="1">
        <v>23.16</v>
      </c>
      <c r="F904" s="6">
        <f t="shared" si="1"/>
        <v>3</v>
      </c>
    </row>
    <row r="905" hidden="1">
      <c r="A905" s="2">
        <v>45597.0</v>
      </c>
      <c r="B905" s="1">
        <v>22.96</v>
      </c>
      <c r="C905" s="1">
        <v>23.09</v>
      </c>
      <c r="D905" s="1">
        <v>21.16</v>
      </c>
      <c r="E905" s="1">
        <v>21.88</v>
      </c>
      <c r="F905" s="6">
        <f t="shared" si="1"/>
        <v>4</v>
      </c>
    </row>
    <row r="906">
      <c r="A906" s="2">
        <v>45600.0</v>
      </c>
      <c r="B906" s="1">
        <v>22.5</v>
      </c>
      <c r="C906" s="1">
        <v>23.07</v>
      </c>
      <c r="D906" s="1">
        <v>21.73</v>
      </c>
      <c r="E906" s="1">
        <v>21.98</v>
      </c>
      <c r="F906" s="6">
        <f t="shared" si="1"/>
        <v>0</v>
      </c>
    </row>
    <row r="907" hidden="1">
      <c r="A907" s="2">
        <v>45601.0</v>
      </c>
      <c r="B907" s="1">
        <v>21.98</v>
      </c>
      <c r="C907" s="1">
        <v>22.06</v>
      </c>
      <c r="D907" s="1">
        <v>20.2</v>
      </c>
      <c r="E907" s="1">
        <v>20.49</v>
      </c>
      <c r="F907" s="6">
        <f t="shared" si="1"/>
        <v>1</v>
      </c>
    </row>
    <row r="908" hidden="1">
      <c r="A908" s="2">
        <v>45602.0</v>
      </c>
      <c r="B908" s="1">
        <v>16.06</v>
      </c>
      <c r="C908" s="1">
        <v>16.82</v>
      </c>
      <c r="D908" s="1">
        <v>15.44</v>
      </c>
      <c r="E908" s="1">
        <v>16.27</v>
      </c>
      <c r="F908" s="6">
        <f t="shared" si="1"/>
        <v>2</v>
      </c>
    </row>
    <row r="909" hidden="1">
      <c r="A909" s="2">
        <v>45603.0</v>
      </c>
      <c r="B909" s="1">
        <v>15.86</v>
      </c>
      <c r="C909" s="1">
        <v>15.86</v>
      </c>
      <c r="D909" s="1">
        <v>15.13</v>
      </c>
      <c r="E909" s="1">
        <v>15.2</v>
      </c>
      <c r="F909" s="6">
        <f t="shared" si="1"/>
        <v>3</v>
      </c>
    </row>
    <row r="910" hidden="1">
      <c r="A910" s="2">
        <v>45604.0</v>
      </c>
      <c r="B910" s="1">
        <v>15.13</v>
      </c>
      <c r="C910" s="1">
        <v>15.33</v>
      </c>
      <c r="D910" s="1">
        <v>14.66</v>
      </c>
      <c r="E910" s="1">
        <v>14.94</v>
      </c>
      <c r="F910" s="6">
        <f t="shared" si="1"/>
        <v>4</v>
      </c>
    </row>
    <row r="911">
      <c r="A911" s="5">
        <v>45607.0</v>
      </c>
      <c r="B911" s="1">
        <v>15.33</v>
      </c>
      <c r="C911" s="1">
        <v>15.56</v>
      </c>
      <c r="D911" s="1">
        <v>14.89</v>
      </c>
      <c r="E911" s="1">
        <v>14.97</v>
      </c>
      <c r="F911" s="6">
        <f t="shared" si="1"/>
        <v>0</v>
      </c>
    </row>
    <row r="912" hidden="1">
      <c r="A912" s="5">
        <v>45608.0</v>
      </c>
      <c r="B912" s="1">
        <v>15.09</v>
      </c>
      <c r="C912" s="1">
        <v>15.37</v>
      </c>
      <c r="D912" s="1">
        <v>14.69</v>
      </c>
      <c r="E912" s="1">
        <v>14.71</v>
      </c>
      <c r="F912" s="6">
        <f t="shared" si="1"/>
        <v>1</v>
      </c>
    </row>
    <row r="913" hidden="1">
      <c r="A913" s="5">
        <v>45609.0</v>
      </c>
      <c r="B913" s="1">
        <v>15.09</v>
      </c>
      <c r="C913" s="1">
        <v>15.26</v>
      </c>
      <c r="D913" s="1">
        <v>13.77</v>
      </c>
      <c r="E913" s="1">
        <v>14.02</v>
      </c>
      <c r="F913" s="6">
        <f t="shared" si="1"/>
        <v>2</v>
      </c>
    </row>
    <row r="914" hidden="1">
      <c r="A914" s="5">
        <v>45610.0</v>
      </c>
      <c r="B914" s="1">
        <v>14.17</v>
      </c>
      <c r="C914" s="1">
        <v>14.32</v>
      </c>
      <c r="D914" s="1">
        <v>13.59</v>
      </c>
      <c r="E914" s="1">
        <v>14.31</v>
      </c>
      <c r="F914" s="6">
        <f t="shared" si="1"/>
        <v>3</v>
      </c>
    </row>
    <row r="915" hidden="1">
      <c r="A915" s="5">
        <v>45611.0</v>
      </c>
      <c r="B915" s="1">
        <v>15.02</v>
      </c>
      <c r="C915" s="1">
        <v>17.55</v>
      </c>
      <c r="D915" s="1">
        <v>14.56</v>
      </c>
      <c r="E915" s="1">
        <v>16.14</v>
      </c>
      <c r="F915" s="6">
        <f t="shared" si="1"/>
        <v>4</v>
      </c>
    </row>
    <row r="916">
      <c r="A916" s="5">
        <v>45614.0</v>
      </c>
      <c r="B916" s="1">
        <v>16.6</v>
      </c>
      <c r="C916" s="1">
        <v>17.0</v>
      </c>
      <c r="D916" s="1">
        <v>15.35</v>
      </c>
      <c r="E916" s="1">
        <v>15.58</v>
      </c>
      <c r="F916" s="6">
        <f t="shared" si="1"/>
        <v>0</v>
      </c>
    </row>
    <row r="917" hidden="1">
      <c r="A917" s="5">
        <v>45615.0</v>
      </c>
      <c r="B917" s="1">
        <v>15.44</v>
      </c>
      <c r="C917" s="1">
        <v>17.93</v>
      </c>
      <c r="D917" s="1">
        <v>15.37</v>
      </c>
      <c r="E917" s="1">
        <v>16.35</v>
      </c>
      <c r="F917" s="6">
        <f t="shared" si="1"/>
        <v>1</v>
      </c>
    </row>
    <row r="918" hidden="1">
      <c r="A918" s="5">
        <v>45616.0</v>
      </c>
      <c r="B918" s="1">
        <v>16.19</v>
      </c>
      <c r="C918" s="1">
        <v>18.79</v>
      </c>
      <c r="D918" s="1">
        <v>16.04</v>
      </c>
      <c r="E918" s="1">
        <v>17.16</v>
      </c>
      <c r="F918" s="6">
        <f t="shared" si="1"/>
        <v>2</v>
      </c>
    </row>
    <row r="919" hidden="1">
      <c r="A919" s="5">
        <v>45617.0</v>
      </c>
      <c r="B919" s="1">
        <v>17.1</v>
      </c>
      <c r="C919" s="1">
        <v>17.99</v>
      </c>
      <c r="D919" s="1">
        <v>15.73</v>
      </c>
      <c r="E919" s="1">
        <v>16.87</v>
      </c>
      <c r="F919" s="6">
        <f t="shared" si="1"/>
        <v>3</v>
      </c>
    </row>
    <row r="920" hidden="1">
      <c r="A920" s="5">
        <v>45618.0</v>
      </c>
      <c r="B920" s="1">
        <v>16.67</v>
      </c>
      <c r="C920" s="1">
        <v>17.56</v>
      </c>
      <c r="D920" s="1">
        <v>15.24</v>
      </c>
      <c r="E920" s="1">
        <v>15.24</v>
      </c>
      <c r="F920" s="6">
        <f t="shared" si="1"/>
        <v>4</v>
      </c>
    </row>
    <row r="921">
      <c r="A921" s="5">
        <v>45621.0</v>
      </c>
      <c r="B921" s="1">
        <v>15.23</v>
      </c>
      <c r="C921" s="1">
        <v>15.72</v>
      </c>
      <c r="D921" s="1">
        <v>14.54</v>
      </c>
      <c r="E921" s="1">
        <v>14.6</v>
      </c>
      <c r="F921" s="6">
        <f t="shared" si="1"/>
        <v>0</v>
      </c>
    </row>
    <row r="922" hidden="1">
      <c r="A922" s="5">
        <v>45622.0</v>
      </c>
      <c r="B922" s="1">
        <v>14.95</v>
      </c>
      <c r="C922" s="1">
        <v>15.03</v>
      </c>
      <c r="D922" s="1">
        <v>13.88</v>
      </c>
      <c r="E922" s="1">
        <v>14.1</v>
      </c>
      <c r="F922" s="6">
        <f t="shared" si="1"/>
        <v>1</v>
      </c>
    </row>
    <row r="923" hidden="1">
      <c r="A923" s="5">
        <v>45623.0</v>
      </c>
      <c r="B923" s="1">
        <v>14.28</v>
      </c>
      <c r="C923" s="1">
        <v>15.13</v>
      </c>
      <c r="D923" s="1">
        <v>13.96</v>
      </c>
      <c r="E923" s="1">
        <v>14.1</v>
      </c>
      <c r="F923" s="6">
        <f t="shared" si="1"/>
        <v>2</v>
      </c>
    </row>
    <row r="924" hidden="1">
      <c r="A924" s="5">
        <v>45624.0</v>
      </c>
      <c r="B924" s="1">
        <v>14.07</v>
      </c>
      <c r="C924" s="1">
        <v>14.07</v>
      </c>
      <c r="D924" s="1">
        <v>13.87</v>
      </c>
      <c r="E924" s="1">
        <v>13.9</v>
      </c>
      <c r="F924" s="6">
        <f t="shared" si="1"/>
        <v>3</v>
      </c>
    </row>
    <row r="925" hidden="1">
      <c r="A925" s="5">
        <v>45625.0</v>
      </c>
      <c r="B925" s="1">
        <v>14.0</v>
      </c>
      <c r="C925" s="1">
        <v>14.15</v>
      </c>
      <c r="D925" s="1">
        <v>13.49</v>
      </c>
      <c r="E925" s="1">
        <v>13.51</v>
      </c>
      <c r="F925" s="6">
        <f t="shared" si="1"/>
        <v>4</v>
      </c>
    </row>
    <row r="926">
      <c r="A926" s="2">
        <v>45628.0</v>
      </c>
      <c r="B926" s="1">
        <v>14.08</v>
      </c>
      <c r="C926" s="1">
        <v>14.1</v>
      </c>
      <c r="D926" s="1">
        <v>13.3</v>
      </c>
      <c r="E926" s="1">
        <v>13.34</v>
      </c>
      <c r="F926" s="6">
        <f t="shared" si="1"/>
        <v>0</v>
      </c>
    </row>
    <row r="927" hidden="1">
      <c r="A927" s="2">
        <v>45629.0</v>
      </c>
      <c r="B927" s="1">
        <v>13.38</v>
      </c>
      <c r="C927" s="1">
        <v>13.77</v>
      </c>
      <c r="D927" s="1">
        <v>13.19</v>
      </c>
      <c r="E927" s="1">
        <v>13.3</v>
      </c>
      <c r="F927" s="6">
        <f t="shared" si="1"/>
        <v>1</v>
      </c>
    </row>
    <row r="928" hidden="1">
      <c r="A928" s="2">
        <v>45630.0</v>
      </c>
      <c r="B928" s="1">
        <v>13.16</v>
      </c>
      <c r="C928" s="1">
        <v>13.61</v>
      </c>
      <c r="D928" s="1">
        <v>12.89</v>
      </c>
      <c r="E928" s="1">
        <v>13.45</v>
      </c>
      <c r="F928" s="6">
        <f t="shared" si="1"/>
        <v>2</v>
      </c>
    </row>
    <row r="929" hidden="1">
      <c r="A929" s="2">
        <v>45631.0</v>
      </c>
      <c r="B929" s="1">
        <v>13.46</v>
      </c>
      <c r="C929" s="1">
        <v>13.7</v>
      </c>
      <c r="D929" s="1">
        <v>13.26</v>
      </c>
      <c r="E929" s="1">
        <v>13.54</v>
      </c>
      <c r="F929" s="6">
        <f t="shared" si="1"/>
        <v>3</v>
      </c>
    </row>
    <row r="930" hidden="1">
      <c r="A930" s="2">
        <v>45632.0</v>
      </c>
      <c r="B930" s="1">
        <v>13.62</v>
      </c>
      <c r="C930" s="1">
        <v>13.74</v>
      </c>
      <c r="D930" s="1">
        <v>12.7</v>
      </c>
      <c r="E930" s="1">
        <v>12.77</v>
      </c>
      <c r="F930" s="6">
        <f t="shared" si="1"/>
        <v>4</v>
      </c>
    </row>
    <row r="931">
      <c r="A931" s="2">
        <v>45635.0</v>
      </c>
      <c r="B931" s="1">
        <v>13.36</v>
      </c>
      <c r="C931" s="1">
        <v>14.23</v>
      </c>
      <c r="D931" s="1">
        <v>13.35</v>
      </c>
      <c r="E931" s="1">
        <v>14.19</v>
      </c>
      <c r="F931" s="6">
        <f t="shared" si="1"/>
        <v>0</v>
      </c>
    </row>
    <row r="932" hidden="1">
      <c r="A932" s="5">
        <v>45636.0</v>
      </c>
      <c r="B932" s="1">
        <v>14.3</v>
      </c>
      <c r="C932" s="1">
        <v>14.54</v>
      </c>
      <c r="D932" s="1">
        <v>13.86</v>
      </c>
      <c r="E932" s="1">
        <v>14.18</v>
      </c>
      <c r="F932" s="6">
        <f t="shared" si="1"/>
        <v>1</v>
      </c>
    </row>
    <row r="933" hidden="1">
      <c r="A933" s="5">
        <v>45637.0</v>
      </c>
      <c r="B933" s="1">
        <v>14.42</v>
      </c>
      <c r="C933" s="1">
        <v>14.43</v>
      </c>
      <c r="D933" s="1">
        <v>13.52</v>
      </c>
      <c r="E933" s="1">
        <v>13.58</v>
      </c>
      <c r="F933" s="6">
        <f t="shared" si="1"/>
        <v>2</v>
      </c>
    </row>
    <row r="934" hidden="1">
      <c r="A934" s="5">
        <v>45638.0</v>
      </c>
      <c r="B934" s="1">
        <v>13.73</v>
      </c>
      <c r="C934" s="1">
        <v>13.95</v>
      </c>
      <c r="D934" s="1">
        <v>13.39</v>
      </c>
      <c r="E934" s="1">
        <v>13.92</v>
      </c>
      <c r="F934" s="6">
        <f t="shared" si="1"/>
        <v>3</v>
      </c>
    </row>
    <row r="935" hidden="1">
      <c r="A935" s="5">
        <v>45639.0</v>
      </c>
      <c r="B935" s="1">
        <v>13.57</v>
      </c>
      <c r="C935" s="1">
        <v>14.25</v>
      </c>
      <c r="D935" s="1">
        <v>13.24</v>
      </c>
      <c r="E935" s="1">
        <v>13.81</v>
      </c>
      <c r="F935" s="6">
        <f t="shared" si="1"/>
        <v>4</v>
      </c>
    </row>
    <row r="936">
      <c r="A936" s="5">
        <v>45642.0</v>
      </c>
      <c r="B936" s="1">
        <v>14.37</v>
      </c>
      <c r="C936" s="1">
        <v>14.69</v>
      </c>
      <c r="D936" s="1">
        <v>13.99</v>
      </c>
      <c r="E936" s="1">
        <v>14.69</v>
      </c>
      <c r="F936" s="6">
        <f t="shared" si="1"/>
        <v>0</v>
      </c>
    </row>
    <row r="937" hidden="1">
      <c r="A937" s="5">
        <v>45643.0</v>
      </c>
      <c r="B937" s="1">
        <v>14.98</v>
      </c>
      <c r="C937" s="1">
        <v>15.94</v>
      </c>
      <c r="D937" s="1">
        <v>14.78</v>
      </c>
      <c r="E937" s="1">
        <v>15.87</v>
      </c>
      <c r="F937" s="6">
        <f t="shared" si="1"/>
        <v>1</v>
      </c>
    </row>
    <row r="938" hidden="1">
      <c r="A938" s="5">
        <v>45644.0</v>
      </c>
      <c r="B938" s="1">
        <v>15.57</v>
      </c>
      <c r="C938" s="1">
        <v>28.32</v>
      </c>
      <c r="D938" s="1">
        <v>14.82</v>
      </c>
      <c r="E938" s="1">
        <v>27.62</v>
      </c>
      <c r="F938" s="6">
        <f t="shared" si="1"/>
        <v>2</v>
      </c>
    </row>
    <row r="939" hidden="1">
      <c r="A939" s="5">
        <v>45645.0</v>
      </c>
      <c r="B939" s="1">
        <v>21.61</v>
      </c>
      <c r="C939" s="1">
        <v>24.12</v>
      </c>
      <c r="D939" s="1">
        <v>20.16</v>
      </c>
      <c r="E939" s="1">
        <v>24.09</v>
      </c>
      <c r="F939" s="6">
        <f t="shared" si="1"/>
        <v>3</v>
      </c>
    </row>
    <row r="940" hidden="1">
      <c r="A940" s="5">
        <v>45646.0</v>
      </c>
      <c r="B940" s="1">
        <v>24.14</v>
      </c>
      <c r="C940" s="1">
        <v>26.51</v>
      </c>
      <c r="D940" s="1">
        <v>17.82</v>
      </c>
      <c r="E940" s="1">
        <v>18.36</v>
      </c>
      <c r="F940" s="6">
        <f t="shared" si="1"/>
        <v>4</v>
      </c>
    </row>
    <row r="941">
      <c r="A941" s="5">
        <v>45649.0</v>
      </c>
      <c r="B941" s="1">
        <v>18.09</v>
      </c>
      <c r="C941" s="1">
        <v>20.02</v>
      </c>
      <c r="D941" s="1">
        <v>16.74</v>
      </c>
      <c r="E941" s="1">
        <v>16.78</v>
      </c>
      <c r="F941" s="6">
        <f t="shared" si="1"/>
        <v>0</v>
      </c>
    </row>
    <row r="942" hidden="1">
      <c r="A942" s="5">
        <v>45650.0</v>
      </c>
      <c r="B942" s="1">
        <v>16.97</v>
      </c>
      <c r="C942" s="1">
        <v>17.04</v>
      </c>
      <c r="D942" s="1">
        <v>14.27</v>
      </c>
      <c r="E942" s="1">
        <v>14.27</v>
      </c>
      <c r="F942" s="6">
        <f t="shared" si="1"/>
        <v>1</v>
      </c>
    </row>
    <row r="943" hidden="1">
      <c r="A943" s="5">
        <v>45652.0</v>
      </c>
      <c r="B943" s="1">
        <v>14.99</v>
      </c>
      <c r="C943" s="1">
        <v>15.93</v>
      </c>
      <c r="D943" s="1">
        <v>14.55</v>
      </c>
      <c r="E943" s="1">
        <v>14.73</v>
      </c>
      <c r="F943" s="6">
        <f t="shared" si="1"/>
        <v>2</v>
      </c>
    </row>
    <row r="944" hidden="1">
      <c r="A944" s="5">
        <v>45653.0</v>
      </c>
      <c r="B944" s="1">
        <v>15.38</v>
      </c>
      <c r="C944" s="1">
        <v>18.45</v>
      </c>
      <c r="D944" s="1">
        <v>15.29</v>
      </c>
      <c r="E944" s="1">
        <v>15.95</v>
      </c>
      <c r="F944" s="6">
        <f t="shared" si="1"/>
        <v>3</v>
      </c>
    </row>
    <row r="945" hidden="1">
      <c r="A945" s="5">
        <v>45656.0</v>
      </c>
      <c r="B945" s="1">
        <v>17.21</v>
      </c>
      <c r="C945" s="1">
        <v>19.22</v>
      </c>
      <c r="D945" s="1">
        <v>16.44</v>
      </c>
      <c r="E945" s="1">
        <v>17.4</v>
      </c>
      <c r="F945" s="6">
        <f t="shared" si="1"/>
        <v>4</v>
      </c>
    </row>
    <row r="946">
      <c r="A946" s="5">
        <v>45657.0</v>
      </c>
      <c r="B946" s="1">
        <v>17.39</v>
      </c>
      <c r="C946" s="1">
        <v>17.81</v>
      </c>
      <c r="D946" s="1">
        <v>16.68</v>
      </c>
      <c r="E946" s="1">
        <v>17.35</v>
      </c>
      <c r="F946" s="6">
        <f t="shared" si="1"/>
        <v>0</v>
      </c>
    </row>
    <row r="947" hidden="1">
      <c r="A947" s="2">
        <v>45659.0</v>
      </c>
      <c r="B947" s="1">
        <v>17.21</v>
      </c>
      <c r="C947" s="1">
        <v>19.5</v>
      </c>
      <c r="D947" s="1">
        <v>16.96</v>
      </c>
      <c r="E947" s="1">
        <v>17.93</v>
      </c>
      <c r="F947" s="6">
        <f t="shared" si="1"/>
        <v>1</v>
      </c>
    </row>
    <row r="948" hidden="1">
      <c r="A948" s="2">
        <v>45660.0</v>
      </c>
      <c r="B948" s="1">
        <v>17.66</v>
      </c>
      <c r="C948" s="1">
        <v>17.94</v>
      </c>
      <c r="D948" s="1">
        <v>16.11</v>
      </c>
      <c r="E948" s="1">
        <v>16.13</v>
      </c>
      <c r="F948" s="6">
        <f t="shared" si="1"/>
        <v>2</v>
      </c>
    </row>
    <row r="949" hidden="1">
      <c r="A949" s="2">
        <v>45663.0</v>
      </c>
      <c r="B949" s="1">
        <v>16.77</v>
      </c>
      <c r="C949" s="1">
        <v>16.87</v>
      </c>
      <c r="D949" s="1">
        <v>15.71</v>
      </c>
      <c r="E949" s="1">
        <v>16.04</v>
      </c>
      <c r="F949" s="6">
        <f t="shared" si="1"/>
        <v>3</v>
      </c>
    </row>
    <row r="950" hidden="1">
      <c r="A950" s="2">
        <v>45664.0</v>
      </c>
      <c r="B950" s="1">
        <v>16.48</v>
      </c>
      <c r="C950" s="1">
        <v>18.9</v>
      </c>
      <c r="D950" s="1">
        <v>15.79</v>
      </c>
      <c r="E950" s="1">
        <v>17.82</v>
      </c>
      <c r="F950" s="6">
        <f t="shared" si="1"/>
        <v>4</v>
      </c>
    </row>
    <row r="951">
      <c r="A951" s="2">
        <v>45665.0</v>
      </c>
      <c r="B951" s="1">
        <v>17.91</v>
      </c>
      <c r="C951" s="1">
        <v>19.5</v>
      </c>
      <c r="D951" s="1">
        <v>17.37</v>
      </c>
      <c r="E951" s="1">
        <v>17.7</v>
      </c>
      <c r="F951" s="6">
        <f t="shared" si="1"/>
        <v>0</v>
      </c>
    </row>
    <row r="952" hidden="1">
      <c r="A952" s="2">
        <v>45666.0</v>
      </c>
      <c r="B952" s="1">
        <v>18.51</v>
      </c>
      <c r="C952" s="1">
        <v>18.52</v>
      </c>
      <c r="D952" s="1">
        <v>17.95</v>
      </c>
      <c r="E952" s="1">
        <v>18.07</v>
      </c>
      <c r="F952" s="6">
        <f t="shared" si="1"/>
        <v>1</v>
      </c>
    </row>
    <row r="953" hidden="1">
      <c r="A953" s="2">
        <v>45667.0</v>
      </c>
      <c r="B953" s="1">
        <v>18.29</v>
      </c>
      <c r="C953" s="1">
        <v>20.31</v>
      </c>
      <c r="D953" s="1">
        <v>18.05</v>
      </c>
      <c r="E953" s="1">
        <v>19.54</v>
      </c>
      <c r="F953" s="6">
        <f t="shared" si="1"/>
        <v>2</v>
      </c>
    </row>
    <row r="954" hidden="1"/>
    <row r="955" hidden="1"/>
    <row r="956" hidden="1"/>
    <row r="957" hidden="1"/>
    <row r="958" hidden="1"/>
    <row r="959" hidden="1"/>
    <row r="960" hidden="1"/>
    <row r="961" hidden="1"/>
    <row r="962" hidden="1"/>
    <row r="963" hidden="1"/>
    <row r="964" hidden="1"/>
    <row r="965" hidden="1"/>
    <row r="966" hidden="1"/>
    <row r="967" hidden="1"/>
    <row r="968" hidden="1"/>
    <row r="969" hidden="1"/>
    <row r="970" hidden="1"/>
    <row r="971" hidden="1"/>
    <row r="972" hidden="1"/>
    <row r="973" hidden="1"/>
    <row r="974" hidden="1"/>
    <row r="975" hidden="1"/>
    <row r="976" hidden="1"/>
    <row r="977" hidden="1"/>
    <row r="978" hidden="1"/>
    <row r="979" hidden="1"/>
    <row r="980" hidden="1"/>
    <row r="981" hidden="1"/>
    <row r="982" hidden="1"/>
    <row r="983" hidden="1"/>
    <row r="984" hidden="1"/>
    <row r="985" hidden="1"/>
    <row r="986" hidden="1"/>
    <row r="987" hidden="1"/>
    <row r="988" hidden="1"/>
    <row r="989" hidden="1"/>
    <row r="990" hidden="1"/>
    <row r="991" hidden="1"/>
    <row r="992" hidden="1"/>
    <row r="993" hidden="1"/>
    <row r="994" hidden="1"/>
    <row r="995" hidden="1"/>
    <row r="996" hidden="1"/>
    <row r="997" hidden="1"/>
    <row r="998" hidden="1"/>
    <row r="999" hidden="1"/>
    <row r="1000" hidden="1"/>
  </sheetData>
  <autoFilter ref="$F$1:$F$1000">
    <filterColumn colId="0">
      <filters>
        <filter val="0"/>
      </filters>
    </filterColumn>
  </autoFil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>
        <v>44317.0</v>
      </c>
      <c r="B1" s="3">
        <v>-0.314</v>
      </c>
      <c r="C1" s="3">
        <v>-0.335</v>
      </c>
      <c r="D1" s="3">
        <v>-0.276</v>
      </c>
      <c r="E1" s="3">
        <v>-0.36</v>
      </c>
      <c r="F1" s="8">
        <v>-0.0427</v>
      </c>
    </row>
    <row r="2">
      <c r="A2" s="7">
        <v>44324.0</v>
      </c>
      <c r="B2" s="3">
        <v>-0.21</v>
      </c>
      <c r="C2" s="3">
        <v>-0.312</v>
      </c>
      <c r="D2" s="3">
        <v>-0.141</v>
      </c>
      <c r="E2" s="3">
        <v>-0.338</v>
      </c>
      <c r="F2" s="8">
        <v>-0.3312</v>
      </c>
    </row>
    <row r="3">
      <c r="A3" s="9">
        <v>44331.0</v>
      </c>
      <c r="B3" s="3">
        <v>-0.241</v>
      </c>
      <c r="C3" s="3">
        <v>-0.219</v>
      </c>
      <c r="D3" s="3">
        <v>-0.124</v>
      </c>
      <c r="E3" s="3">
        <v>-0.267</v>
      </c>
      <c r="F3" s="10">
        <f>+14.76%</f>
        <v>0.1476</v>
      </c>
    </row>
    <row r="4">
      <c r="A4" s="9">
        <v>44338.0</v>
      </c>
      <c r="B4" s="3">
        <v>-0.318</v>
      </c>
      <c r="C4" s="3">
        <v>-0.22</v>
      </c>
      <c r="D4" s="3">
        <v>-0.18</v>
      </c>
      <c r="E4" s="3">
        <v>-0.318</v>
      </c>
      <c r="F4" s="10">
        <f>+31.95%</f>
        <v>0.3195</v>
      </c>
    </row>
    <row r="5">
      <c r="A5" s="9">
        <v>44345.0</v>
      </c>
      <c r="B5" s="3">
        <v>-0.355</v>
      </c>
      <c r="C5" s="3">
        <v>-0.314</v>
      </c>
      <c r="D5" s="3">
        <v>-0.242</v>
      </c>
      <c r="E5" s="3">
        <v>-0.359</v>
      </c>
      <c r="F5" s="10">
        <f>+11.64%</f>
        <v>0.1164</v>
      </c>
    </row>
    <row r="6">
      <c r="A6" s="11">
        <v>44352.0</v>
      </c>
      <c r="B6" s="3">
        <v>-0.401</v>
      </c>
      <c r="C6" s="3">
        <v>-0.357</v>
      </c>
      <c r="D6" s="3">
        <v>-0.326</v>
      </c>
      <c r="E6" s="3">
        <v>-0.405</v>
      </c>
      <c r="F6" s="10">
        <f>+12.96%</f>
        <v>0.1296</v>
      </c>
    </row>
    <row r="7">
      <c r="A7" s="12">
        <v>44359.0</v>
      </c>
      <c r="B7" s="3">
        <v>-0.336</v>
      </c>
      <c r="C7" s="3">
        <v>-0.4</v>
      </c>
      <c r="D7" s="3">
        <v>-0.329</v>
      </c>
      <c r="E7" s="3">
        <v>-0.401</v>
      </c>
      <c r="F7" s="8">
        <v>-0.1621</v>
      </c>
    </row>
    <row r="8">
      <c r="A8" s="12">
        <v>44366.0</v>
      </c>
      <c r="B8" s="3">
        <v>-0.302</v>
      </c>
      <c r="C8" s="3">
        <v>-0.337</v>
      </c>
      <c r="D8" s="3">
        <v>-0.272</v>
      </c>
      <c r="E8" s="3">
        <v>-0.338</v>
      </c>
      <c r="F8" s="8">
        <v>-0.1012</v>
      </c>
    </row>
    <row r="9">
      <c r="A9" s="12">
        <v>44373.0</v>
      </c>
      <c r="B9" s="3">
        <v>-0.382</v>
      </c>
      <c r="C9" s="3">
        <v>-0.3</v>
      </c>
      <c r="D9" s="3">
        <v>-0.258</v>
      </c>
      <c r="E9" s="3">
        <v>-0.388</v>
      </c>
      <c r="F9" s="10">
        <f>+26.49%</f>
        <v>0.2649</v>
      </c>
    </row>
    <row r="10">
      <c r="A10" s="11">
        <v>44380.0</v>
      </c>
      <c r="B10" s="3">
        <v>-0.376</v>
      </c>
      <c r="C10" s="3">
        <v>-0.38</v>
      </c>
      <c r="D10" s="3">
        <v>-0.303</v>
      </c>
      <c r="E10" s="3">
        <v>-0.399</v>
      </c>
      <c r="F10" s="8">
        <v>-0.0157</v>
      </c>
    </row>
    <row r="11">
      <c r="A11" s="12">
        <v>44387.0</v>
      </c>
      <c r="B11" s="3">
        <v>-0.407</v>
      </c>
      <c r="C11" s="3">
        <v>-0.379</v>
      </c>
      <c r="D11" s="3">
        <v>-0.31</v>
      </c>
      <c r="E11" s="3">
        <v>-0.412</v>
      </c>
      <c r="F11" s="10">
        <f>+8.24%</f>
        <v>0.0824</v>
      </c>
    </row>
    <row r="12">
      <c r="A12" s="12">
        <v>44394.0</v>
      </c>
      <c r="B12" s="3">
        <v>-0.443</v>
      </c>
      <c r="C12" s="3">
        <v>-0.403</v>
      </c>
      <c r="D12" s="3">
        <v>-0.37</v>
      </c>
      <c r="E12" s="3">
        <v>-0.446</v>
      </c>
      <c r="F12" s="10">
        <f>+8.85%</f>
        <v>0.0885</v>
      </c>
    </row>
    <row r="13">
      <c r="A13" s="12">
        <v>44401.0</v>
      </c>
      <c r="B13" s="3">
        <v>-0.441</v>
      </c>
      <c r="C13" s="3">
        <v>-0.446</v>
      </c>
      <c r="D13" s="3">
        <v>-0.399</v>
      </c>
      <c r="E13" s="3">
        <v>-0.451</v>
      </c>
      <c r="F13" s="8">
        <v>-0.0045</v>
      </c>
    </row>
    <row r="14">
      <c r="A14" s="12">
        <v>44408.0</v>
      </c>
      <c r="B14" s="3">
        <v>-0.485</v>
      </c>
      <c r="C14" s="3">
        <v>-0.448</v>
      </c>
      <c r="D14" s="3">
        <v>-0.425</v>
      </c>
      <c r="E14" s="3">
        <v>-0.501</v>
      </c>
      <c r="F14" s="10">
        <f>+9.98%</f>
        <v>0.0998</v>
      </c>
    </row>
    <row r="15">
      <c r="A15" s="11">
        <v>44415.0</v>
      </c>
      <c r="B15" s="3">
        <v>-0.487</v>
      </c>
      <c r="C15" s="3">
        <v>-0.447</v>
      </c>
      <c r="D15" s="3">
        <v>-0.447</v>
      </c>
      <c r="E15" s="3">
        <v>-0.502</v>
      </c>
      <c r="F15" s="10">
        <f>+0.41%</f>
        <v>0.0041</v>
      </c>
    </row>
    <row r="16">
      <c r="A16" s="12">
        <v>44422.0</v>
      </c>
      <c r="B16" s="3">
        <v>-0.504</v>
      </c>
      <c r="C16" s="3">
        <v>-0.489</v>
      </c>
      <c r="D16" s="3">
        <v>-0.446</v>
      </c>
      <c r="E16" s="3">
        <v>-0.509</v>
      </c>
      <c r="F16" s="10">
        <f>+3.49%</f>
        <v>0.0349</v>
      </c>
    </row>
    <row r="17">
      <c r="A17" s="12">
        <v>44429.0</v>
      </c>
      <c r="B17" s="3">
        <v>-0.493</v>
      </c>
      <c r="C17" s="3">
        <v>-0.509</v>
      </c>
      <c r="D17" s="3">
        <v>-0.431</v>
      </c>
      <c r="E17" s="3">
        <v>-0.513</v>
      </c>
      <c r="F17" s="8">
        <v>-0.0218</v>
      </c>
    </row>
    <row r="18">
      <c r="A18" s="12">
        <v>44436.0</v>
      </c>
      <c r="B18" s="3">
        <v>-0.491</v>
      </c>
      <c r="C18" s="3">
        <v>-0.489</v>
      </c>
      <c r="D18" s="3">
        <v>-0.446</v>
      </c>
      <c r="E18" s="3">
        <v>-0.513</v>
      </c>
      <c r="F18" s="8">
        <v>-0.0041</v>
      </c>
    </row>
    <row r="19">
      <c r="A19" s="11">
        <v>44443.0</v>
      </c>
      <c r="B19" s="3">
        <v>-0.482</v>
      </c>
      <c r="C19" s="3">
        <v>-0.496</v>
      </c>
      <c r="D19" s="3">
        <v>-0.433</v>
      </c>
      <c r="E19" s="3">
        <v>-0.503</v>
      </c>
      <c r="F19" s="8">
        <v>-0.0183</v>
      </c>
    </row>
    <row r="20">
      <c r="A20" s="12">
        <v>44450.0</v>
      </c>
      <c r="B20" s="3">
        <v>-0.475</v>
      </c>
      <c r="C20" s="3">
        <v>-0.479</v>
      </c>
      <c r="D20" s="3">
        <v>-0.447</v>
      </c>
      <c r="E20" s="3">
        <v>-0.505</v>
      </c>
      <c r="F20" s="8">
        <v>-0.0145</v>
      </c>
    </row>
    <row r="21">
      <c r="A21" s="12">
        <v>44457.0</v>
      </c>
      <c r="B21" s="3">
        <v>-0.47</v>
      </c>
      <c r="C21" s="3">
        <v>-0.472</v>
      </c>
      <c r="D21" s="3">
        <v>-0.441</v>
      </c>
      <c r="E21" s="3">
        <v>-0.524</v>
      </c>
      <c r="F21" s="8">
        <v>-0.0105</v>
      </c>
    </row>
    <row r="22">
      <c r="A22" s="12">
        <v>44464.0</v>
      </c>
      <c r="B22" s="3">
        <v>-0.477</v>
      </c>
      <c r="C22" s="3">
        <v>-0.472</v>
      </c>
      <c r="D22" s="3">
        <v>-0.42</v>
      </c>
      <c r="E22" s="3">
        <v>-0.483</v>
      </c>
      <c r="F22" s="10">
        <f>+1.49%</f>
        <v>0.0149</v>
      </c>
    </row>
    <row r="23">
      <c r="A23" s="11">
        <v>44471.0</v>
      </c>
      <c r="B23" s="3">
        <v>-0.486</v>
      </c>
      <c r="C23" s="3">
        <v>-0.477</v>
      </c>
      <c r="D23" s="3">
        <v>-0.433</v>
      </c>
      <c r="E23" s="3">
        <v>-0.499</v>
      </c>
      <c r="F23" s="10">
        <f>+1.89%</f>
        <v>0.0189</v>
      </c>
    </row>
    <row r="24">
      <c r="A24" s="11">
        <v>44478.0</v>
      </c>
      <c r="B24" s="3">
        <v>-0.473</v>
      </c>
      <c r="C24" s="3">
        <v>-0.476</v>
      </c>
      <c r="D24" s="3">
        <v>-0.435</v>
      </c>
      <c r="E24" s="3">
        <v>-0.489</v>
      </c>
      <c r="F24" s="8">
        <v>-0.0267</v>
      </c>
    </row>
    <row r="25">
      <c r="A25" s="12">
        <v>44485.0</v>
      </c>
      <c r="B25" s="3">
        <v>-0.41</v>
      </c>
      <c r="C25" s="3">
        <v>-0.453</v>
      </c>
      <c r="D25" s="3">
        <v>-0.382</v>
      </c>
      <c r="E25" s="3">
        <v>-0.457</v>
      </c>
      <c r="F25" s="8">
        <v>-0.1332</v>
      </c>
    </row>
    <row r="26">
      <c r="A26" s="12">
        <v>44492.0</v>
      </c>
      <c r="B26" s="3">
        <v>-0.295</v>
      </c>
      <c r="C26" s="3">
        <v>-0.43</v>
      </c>
      <c r="D26" s="3">
        <v>-0.276</v>
      </c>
      <c r="E26" s="3">
        <v>-0.466</v>
      </c>
      <c r="F26" s="8">
        <v>-0.2805</v>
      </c>
    </row>
    <row r="27">
      <c r="A27" s="12">
        <v>44499.0</v>
      </c>
      <c r="B27" s="3">
        <v>-0.552</v>
      </c>
      <c r="C27" s="3">
        <v>-0.305</v>
      </c>
      <c r="D27" s="3">
        <v>-0.274</v>
      </c>
      <c r="E27" s="3">
        <v>-0.555</v>
      </c>
      <c r="F27" s="10">
        <f>+87.12%</f>
        <v>0.8712</v>
      </c>
    </row>
    <row r="28">
      <c r="A28" s="11">
        <v>44506.0</v>
      </c>
      <c r="B28" s="3">
        <v>-0.495</v>
      </c>
      <c r="C28" s="3">
        <v>-0.544</v>
      </c>
      <c r="D28" s="3">
        <v>-0.46</v>
      </c>
      <c r="E28" s="3">
        <v>-0.574</v>
      </c>
      <c r="F28" s="8">
        <v>-0.1033</v>
      </c>
    </row>
    <row r="29">
      <c r="A29" s="12">
        <v>44513.0</v>
      </c>
      <c r="B29" s="3">
        <v>-0.557</v>
      </c>
      <c r="C29" s="3">
        <v>-0.52</v>
      </c>
      <c r="D29" s="3">
        <v>-0.462</v>
      </c>
      <c r="E29" s="3">
        <v>-0.569</v>
      </c>
      <c r="F29" s="10">
        <f>+12.53%</f>
        <v>0.1253</v>
      </c>
    </row>
    <row r="30">
      <c r="A30" s="12">
        <v>44520.0</v>
      </c>
      <c r="B30" s="3">
        <v>-0.513</v>
      </c>
      <c r="C30" s="3">
        <v>-0.569</v>
      </c>
      <c r="D30" s="3">
        <v>-0.466</v>
      </c>
      <c r="E30" s="3">
        <v>-0.581</v>
      </c>
      <c r="F30" s="8">
        <v>-0.079</v>
      </c>
    </row>
    <row r="31">
      <c r="A31" s="12">
        <v>44527.0</v>
      </c>
      <c r="B31" s="3">
        <v>-0.283</v>
      </c>
      <c r="C31" s="3">
        <v>-0.512</v>
      </c>
      <c r="D31" s="3">
        <v>-0.219</v>
      </c>
      <c r="E31" s="3">
        <v>-0.515</v>
      </c>
      <c r="F31" s="8">
        <v>-0.4483</v>
      </c>
    </row>
    <row r="32">
      <c r="A32" s="11">
        <v>44534.0</v>
      </c>
      <c r="B32" s="3">
        <v>-0.301</v>
      </c>
      <c r="C32" s="3">
        <v>-0.292</v>
      </c>
      <c r="D32" s="3">
        <v>-0.219</v>
      </c>
      <c r="E32" s="3">
        <v>-0.33</v>
      </c>
      <c r="F32" s="10">
        <f>+6.36%</f>
        <v>0.0636</v>
      </c>
    </row>
    <row r="33">
      <c r="A33" s="12">
        <v>44541.0</v>
      </c>
      <c r="B33" s="3">
        <v>-0.287</v>
      </c>
      <c r="C33" s="3">
        <v>-0.291</v>
      </c>
      <c r="D33" s="3">
        <v>-0.203</v>
      </c>
      <c r="E33" s="3">
        <v>-0.347</v>
      </c>
      <c r="F33" s="8">
        <v>-0.0465</v>
      </c>
    </row>
    <row r="34">
      <c r="A34" s="12">
        <v>44548.0</v>
      </c>
      <c r="B34" s="3">
        <v>-0.127</v>
      </c>
      <c r="C34" s="3">
        <v>-0.292</v>
      </c>
      <c r="D34" s="3">
        <v>-0.117</v>
      </c>
      <c r="E34" s="3">
        <v>-0.307</v>
      </c>
      <c r="F34" s="8">
        <v>-0.5575</v>
      </c>
    </row>
    <row r="35">
      <c r="A35" s="12">
        <v>44555.0</v>
      </c>
      <c r="B35" s="3">
        <v>-0.074</v>
      </c>
      <c r="C35" s="3">
        <v>-0.119</v>
      </c>
      <c r="D35" s="3">
        <v>-0.017</v>
      </c>
      <c r="E35" s="3">
        <v>-0.119</v>
      </c>
      <c r="F35" s="8">
        <v>-0.4173</v>
      </c>
    </row>
    <row r="36">
      <c r="A36" s="11">
        <v>44562.0</v>
      </c>
      <c r="B36" s="3">
        <v>-0.069</v>
      </c>
      <c r="C36" s="3">
        <v>-0.075</v>
      </c>
      <c r="D36" s="3">
        <v>-0.04</v>
      </c>
      <c r="E36" s="3">
        <v>-0.119</v>
      </c>
      <c r="F36" s="8">
        <v>-0.0676</v>
      </c>
    </row>
    <row r="37">
      <c r="A37" s="11">
        <v>44569.0</v>
      </c>
      <c r="B37" s="3">
        <v>-0.12</v>
      </c>
      <c r="C37" s="3">
        <v>-0.073</v>
      </c>
      <c r="D37" s="3">
        <v>-0.066</v>
      </c>
      <c r="E37" s="3">
        <v>-0.14</v>
      </c>
      <c r="F37" s="10">
        <f>+73.91%</f>
        <v>0.7391</v>
      </c>
    </row>
    <row r="38">
      <c r="A38" s="12">
        <v>44576.0</v>
      </c>
      <c r="B38" s="3">
        <v>-0.124</v>
      </c>
      <c r="C38" s="3">
        <v>-0.098</v>
      </c>
      <c r="D38" s="3">
        <v>-0.066</v>
      </c>
      <c r="E38" s="3">
        <v>-0.135</v>
      </c>
      <c r="F38" s="10">
        <f>+3.33%</f>
        <v>0.0333</v>
      </c>
    </row>
    <row r="39">
      <c r="A39" s="12">
        <v>44583.0</v>
      </c>
      <c r="B39" s="3">
        <v>-0.128</v>
      </c>
      <c r="C39" s="3">
        <v>-0.124</v>
      </c>
      <c r="D39" s="3">
        <v>-0.056</v>
      </c>
      <c r="E39" s="3">
        <v>-0.146</v>
      </c>
      <c r="F39" s="10">
        <f>+3.23%</f>
        <v>0.0323</v>
      </c>
    </row>
    <row r="40">
      <c r="A40" s="12">
        <v>44590.0</v>
      </c>
      <c r="B40" s="3">
        <v>0.303</v>
      </c>
      <c r="C40" s="3">
        <v>-0.166</v>
      </c>
      <c r="D40" s="3">
        <v>0.338</v>
      </c>
      <c r="E40" s="3">
        <v>-0.166</v>
      </c>
      <c r="F40" s="8">
        <v>-3.3672</v>
      </c>
    </row>
    <row r="41">
      <c r="A41" s="11">
        <v>44597.0</v>
      </c>
      <c r="B41" s="3">
        <v>0.326</v>
      </c>
      <c r="C41" s="3">
        <v>0.352</v>
      </c>
      <c r="D41" s="3">
        <v>0.458</v>
      </c>
      <c r="E41" s="3">
        <v>0.216</v>
      </c>
      <c r="F41" s="10">
        <f>+7.59%</f>
        <v>0.0759</v>
      </c>
    </row>
    <row r="42">
      <c r="A42" s="12">
        <v>44604.0</v>
      </c>
      <c r="B42" s="3">
        <v>0.109</v>
      </c>
      <c r="C42" s="3">
        <v>0.301</v>
      </c>
      <c r="D42" s="3">
        <v>0.32</v>
      </c>
      <c r="E42" s="3">
        <v>0.09</v>
      </c>
      <c r="F42" s="8">
        <v>-0.6656</v>
      </c>
    </row>
    <row r="43">
      <c r="A43" s="12">
        <v>44611.0</v>
      </c>
      <c r="B43" s="3">
        <v>0.103</v>
      </c>
      <c r="C43" s="3">
        <v>0.134</v>
      </c>
      <c r="D43" s="3">
        <v>0.22</v>
      </c>
      <c r="E43" s="3">
        <v>0.027</v>
      </c>
      <c r="F43" s="8">
        <v>-0.055</v>
      </c>
    </row>
    <row r="44">
      <c r="A44" s="12">
        <v>44618.0</v>
      </c>
      <c r="B44" s="3">
        <v>-0.142</v>
      </c>
      <c r="C44" s="3">
        <v>0.078</v>
      </c>
      <c r="D44" s="3">
        <v>0.109</v>
      </c>
      <c r="E44" s="3">
        <v>-0.291</v>
      </c>
      <c r="F44" s="8">
        <v>-2.3786</v>
      </c>
    </row>
    <row r="45">
      <c r="A45" s="11">
        <v>44625.0</v>
      </c>
      <c r="B45" s="3">
        <v>0.151</v>
      </c>
      <c r="C45" s="3">
        <v>-0.098</v>
      </c>
      <c r="D45" s="3">
        <v>0.221</v>
      </c>
      <c r="E45" s="3">
        <v>-0.121</v>
      </c>
      <c r="F45" s="8">
        <v>-2.0634</v>
      </c>
    </row>
    <row r="46">
      <c r="A46" s="12">
        <v>44632.0</v>
      </c>
      <c r="B46" s="3">
        <v>0.077</v>
      </c>
      <c r="C46" s="3">
        <v>0.173</v>
      </c>
      <c r="D46" s="3">
        <v>0.206</v>
      </c>
      <c r="E46" s="3">
        <v>0.066</v>
      </c>
      <c r="F46" s="8">
        <v>-0.4901</v>
      </c>
    </row>
    <row r="47">
      <c r="A47" s="12">
        <v>44639.0</v>
      </c>
      <c r="B47" s="3">
        <v>0.202</v>
      </c>
      <c r="C47" s="3">
        <v>0.167</v>
      </c>
      <c r="D47" s="3">
        <v>0.217</v>
      </c>
      <c r="E47" s="3">
        <v>0.104</v>
      </c>
      <c r="F47" s="10">
        <f>+162.34%</f>
        <v>1.6234</v>
      </c>
    </row>
    <row r="48">
      <c r="A48" s="12">
        <v>44646.0</v>
      </c>
      <c r="B48" s="3">
        <v>0.351</v>
      </c>
      <c r="C48" s="3">
        <v>0.243</v>
      </c>
      <c r="D48" s="3">
        <v>0.411</v>
      </c>
      <c r="E48" s="3">
        <v>0.224</v>
      </c>
      <c r="F48" s="10">
        <f>+73.76%</f>
        <v>0.7376</v>
      </c>
    </row>
    <row r="49">
      <c r="A49" s="11">
        <v>44653.0</v>
      </c>
      <c r="B49" s="3">
        <v>0.463</v>
      </c>
      <c r="C49" s="3">
        <v>0.34</v>
      </c>
      <c r="D49" s="3">
        <v>0.506</v>
      </c>
      <c r="E49" s="3">
        <v>0.3</v>
      </c>
      <c r="F49" s="10">
        <f>+31.91%</f>
        <v>0.3191</v>
      </c>
    </row>
    <row r="50">
      <c r="A50" s="11">
        <v>44660.0</v>
      </c>
      <c r="B50" s="3">
        <v>0.432</v>
      </c>
      <c r="C50" s="3">
        <v>0.533</v>
      </c>
      <c r="D50" s="3">
        <v>0.566</v>
      </c>
      <c r="E50" s="3">
        <v>0.366</v>
      </c>
      <c r="F50" s="8">
        <v>-0.067</v>
      </c>
    </row>
    <row r="51">
      <c r="A51" s="12">
        <v>44667.0</v>
      </c>
      <c r="B51" s="3">
        <v>0.588</v>
      </c>
      <c r="C51" s="3">
        <v>0.425</v>
      </c>
      <c r="D51" s="3">
        <v>0.604</v>
      </c>
      <c r="E51" s="3">
        <v>0.371</v>
      </c>
      <c r="F51" s="10">
        <f>+36.11%</f>
        <v>0.3611</v>
      </c>
    </row>
    <row r="52">
      <c r="A52" s="12">
        <v>44674.0</v>
      </c>
      <c r="B52" s="3">
        <v>0.721</v>
      </c>
      <c r="C52" s="3">
        <v>0.559</v>
      </c>
      <c r="D52" s="3">
        <v>0.738</v>
      </c>
      <c r="E52" s="3">
        <v>0.484</v>
      </c>
      <c r="F52" s="10">
        <f>+22.62%</f>
        <v>0.2262</v>
      </c>
    </row>
    <row r="53">
      <c r="A53" s="12">
        <v>44681.0</v>
      </c>
      <c r="B53" s="3">
        <v>1.062</v>
      </c>
      <c r="C53" s="3">
        <v>0.752</v>
      </c>
      <c r="D53" s="3">
        <v>1.079</v>
      </c>
      <c r="E53" s="3">
        <v>0.715</v>
      </c>
      <c r="F53" s="10">
        <f>+47.3%</f>
        <v>0.473</v>
      </c>
    </row>
    <row r="54">
      <c r="A54" s="7">
        <v>44688.0</v>
      </c>
      <c r="B54" s="3">
        <v>0.749</v>
      </c>
      <c r="C54" s="3">
        <v>1.123</v>
      </c>
      <c r="D54" s="3">
        <v>1.14</v>
      </c>
      <c r="E54" s="3">
        <v>0.658</v>
      </c>
      <c r="F54" s="8">
        <v>-0.2947</v>
      </c>
    </row>
    <row r="55">
      <c r="A55" s="9">
        <v>44695.0</v>
      </c>
      <c r="B55" s="3">
        <v>0.959</v>
      </c>
      <c r="C55" s="3">
        <v>0.768</v>
      </c>
      <c r="D55" s="3">
        <v>0.985</v>
      </c>
      <c r="E55" s="3">
        <v>0.766</v>
      </c>
      <c r="F55" s="10">
        <f>+28.04%</f>
        <v>0.2804</v>
      </c>
    </row>
    <row r="56">
      <c r="A56" s="9">
        <v>44702.0</v>
      </c>
      <c r="B56" s="3">
        <v>0.842</v>
      </c>
      <c r="C56" s="3">
        <v>0.962</v>
      </c>
      <c r="D56" s="3">
        <v>1.04</v>
      </c>
      <c r="E56" s="3">
        <v>0.799</v>
      </c>
      <c r="F56" s="8">
        <v>-0.122</v>
      </c>
    </row>
    <row r="57">
      <c r="A57" s="9">
        <v>44709.0</v>
      </c>
      <c r="B57" s="3">
        <v>1.249</v>
      </c>
      <c r="C57" s="3">
        <v>0.889</v>
      </c>
      <c r="D57" s="3">
        <v>1.259</v>
      </c>
      <c r="E57" s="3">
        <v>0.889</v>
      </c>
      <c r="F57" s="10">
        <f>+48.34%</f>
        <v>0.4834</v>
      </c>
    </row>
    <row r="58">
      <c r="A58" s="11">
        <v>44716.0</v>
      </c>
      <c r="B58" s="3">
        <v>1.645</v>
      </c>
      <c r="C58" s="3">
        <v>1.122</v>
      </c>
      <c r="D58" s="3">
        <v>1.656</v>
      </c>
      <c r="E58" s="3">
        <v>1.117</v>
      </c>
      <c r="F58" s="10">
        <f>+31.71%</f>
        <v>0.3171</v>
      </c>
    </row>
    <row r="59">
      <c r="A59" s="12">
        <v>44723.0</v>
      </c>
      <c r="B59" s="3">
        <v>1.56</v>
      </c>
      <c r="C59" s="3">
        <v>1.824</v>
      </c>
      <c r="D59" s="3">
        <v>2.122</v>
      </c>
      <c r="E59" s="3">
        <v>1.505</v>
      </c>
      <c r="F59" s="8">
        <v>-0.0517</v>
      </c>
    </row>
    <row r="60">
      <c r="A60" s="12">
        <v>44730.0</v>
      </c>
      <c r="B60" s="3">
        <v>1.316</v>
      </c>
      <c r="C60" s="3">
        <v>1.575</v>
      </c>
      <c r="D60" s="3">
        <v>1.615</v>
      </c>
      <c r="E60" s="3">
        <v>1.276</v>
      </c>
      <c r="F60" s="8">
        <v>-0.1564</v>
      </c>
    </row>
    <row r="61">
      <c r="A61" s="12">
        <v>44737.0</v>
      </c>
      <c r="B61" s="3">
        <v>1.028</v>
      </c>
      <c r="C61" s="3">
        <v>1.389</v>
      </c>
      <c r="D61" s="3">
        <v>1.499</v>
      </c>
      <c r="E61" s="3">
        <v>0.945</v>
      </c>
      <c r="F61" s="8">
        <v>-0.2188</v>
      </c>
    </row>
    <row r="62">
      <c r="A62" s="11">
        <v>44744.0</v>
      </c>
      <c r="B62" s="3">
        <v>1.063</v>
      </c>
      <c r="C62" s="3">
        <v>1.072</v>
      </c>
      <c r="D62" s="3">
        <v>1.132</v>
      </c>
      <c r="E62" s="3">
        <v>0.897</v>
      </c>
      <c r="F62" s="10">
        <f>+3.4%</f>
        <v>0.034</v>
      </c>
    </row>
    <row r="63">
      <c r="A63" s="11">
        <v>44751.0</v>
      </c>
      <c r="B63" s="3">
        <v>1.317</v>
      </c>
      <c r="C63" s="3">
        <v>1.058</v>
      </c>
      <c r="D63" s="3">
        <v>1.372</v>
      </c>
      <c r="E63" s="3">
        <v>0.964</v>
      </c>
      <c r="F63" s="10">
        <f>+23.89%</f>
        <v>0.2389</v>
      </c>
    </row>
    <row r="64">
      <c r="A64" s="12">
        <v>44758.0</v>
      </c>
      <c r="B64" s="3">
        <v>1.358</v>
      </c>
      <c r="C64" s="3">
        <v>1.334</v>
      </c>
      <c r="D64" s="3">
        <v>1.715</v>
      </c>
      <c r="E64" s="3">
        <v>1.193</v>
      </c>
      <c r="F64" s="10">
        <f>+3.11%</f>
        <v>0.0311</v>
      </c>
    </row>
    <row r="65">
      <c r="A65" s="12">
        <v>44765.0</v>
      </c>
      <c r="B65" s="3">
        <v>1.414</v>
      </c>
      <c r="C65" s="3">
        <v>1.356</v>
      </c>
      <c r="D65" s="3">
        <v>1.773</v>
      </c>
      <c r="E65" s="3">
        <v>1.317</v>
      </c>
      <c r="F65" s="10">
        <f>+4.12%</f>
        <v>0.0412</v>
      </c>
    </row>
    <row r="66">
      <c r="A66" s="12">
        <v>44772.0</v>
      </c>
      <c r="B66" s="3">
        <v>1.295</v>
      </c>
      <c r="C66" s="3">
        <v>1.403</v>
      </c>
      <c r="D66" s="3">
        <v>1.403</v>
      </c>
      <c r="E66" s="3">
        <v>1.148</v>
      </c>
      <c r="F66" s="8">
        <v>-0.0842</v>
      </c>
    </row>
    <row r="67">
      <c r="A67" s="11">
        <v>44779.0</v>
      </c>
      <c r="B67" s="3">
        <v>1.33</v>
      </c>
      <c r="C67" s="3">
        <v>1.24</v>
      </c>
      <c r="D67" s="3">
        <v>1.403</v>
      </c>
      <c r="E67" s="3">
        <v>1.197</v>
      </c>
      <c r="F67" s="10">
        <f>+2.7%</f>
        <v>0.027</v>
      </c>
    </row>
    <row r="68">
      <c r="A68" s="12">
        <v>44786.0</v>
      </c>
      <c r="B68" s="3">
        <v>1.751</v>
      </c>
      <c r="C68" s="3">
        <v>1.319</v>
      </c>
      <c r="D68" s="3">
        <v>1.795</v>
      </c>
      <c r="E68" s="3">
        <v>1.279</v>
      </c>
      <c r="F68" s="10">
        <f>+31.65%</f>
        <v>0.3165</v>
      </c>
    </row>
    <row r="69">
      <c r="A69" s="12">
        <v>44793.0</v>
      </c>
      <c r="B69" s="3">
        <v>1.768</v>
      </c>
      <c r="C69" s="3">
        <v>1.715</v>
      </c>
      <c r="D69" s="3">
        <v>1.969</v>
      </c>
      <c r="E69" s="3">
        <v>1.706</v>
      </c>
      <c r="F69" s="10">
        <f>+0.97%</f>
        <v>0.0097</v>
      </c>
    </row>
    <row r="70">
      <c r="A70" s="12">
        <v>44800.0</v>
      </c>
      <c r="B70" s="3">
        <v>2.138</v>
      </c>
      <c r="C70" s="3">
        <v>2.08</v>
      </c>
      <c r="D70" s="3">
        <v>2.315</v>
      </c>
      <c r="E70" s="3">
        <v>1.984</v>
      </c>
      <c r="F70" s="10">
        <f>+20.93%</f>
        <v>0.2093</v>
      </c>
    </row>
    <row r="71">
      <c r="A71" s="11">
        <v>44807.0</v>
      </c>
      <c r="B71" s="3">
        <v>2.432</v>
      </c>
      <c r="C71" s="3">
        <v>2.19</v>
      </c>
      <c r="D71" s="3">
        <v>2.462</v>
      </c>
      <c r="E71" s="3">
        <v>2.068</v>
      </c>
      <c r="F71" s="10">
        <f>+13.75%</f>
        <v>0.1375</v>
      </c>
    </row>
    <row r="72">
      <c r="A72" s="12">
        <v>44814.0</v>
      </c>
      <c r="B72" s="3">
        <v>2.624</v>
      </c>
      <c r="C72" s="3">
        <v>2.476</v>
      </c>
      <c r="D72" s="3">
        <v>2.67</v>
      </c>
      <c r="E72" s="3">
        <v>2.33</v>
      </c>
      <c r="F72" s="10">
        <f>+7.89%</f>
        <v>0.0789</v>
      </c>
    </row>
    <row r="73">
      <c r="A73" s="12">
        <v>44821.0</v>
      </c>
      <c r="B73" s="3">
        <v>3.034</v>
      </c>
      <c r="C73" s="3">
        <v>2.571</v>
      </c>
      <c r="D73" s="3">
        <v>3.043</v>
      </c>
      <c r="E73" s="3">
        <v>2.571</v>
      </c>
      <c r="F73" s="10">
        <f>+15.62%</f>
        <v>0.1562</v>
      </c>
    </row>
    <row r="74">
      <c r="A74" s="12">
        <v>44828.0</v>
      </c>
      <c r="B74" s="3">
        <v>2.866</v>
      </c>
      <c r="C74" s="3">
        <v>3.141</v>
      </c>
      <c r="D74" s="3">
        <v>3.39</v>
      </c>
      <c r="E74" s="3">
        <v>2.838</v>
      </c>
      <c r="F74" s="8">
        <v>-0.0554</v>
      </c>
    </row>
    <row r="75">
      <c r="A75" s="11">
        <v>44835.0</v>
      </c>
      <c r="B75" s="3">
        <v>3.1</v>
      </c>
      <c r="C75" s="3">
        <v>2.931</v>
      </c>
      <c r="D75" s="3">
        <v>3.131</v>
      </c>
      <c r="E75" s="3">
        <v>2.453</v>
      </c>
      <c r="F75" s="10">
        <f>+8.16%</f>
        <v>0.0816</v>
      </c>
    </row>
    <row r="76">
      <c r="A76" s="11">
        <v>44842.0</v>
      </c>
      <c r="B76" s="3">
        <v>2.997</v>
      </c>
      <c r="C76" s="3">
        <v>3.17</v>
      </c>
      <c r="D76" s="3">
        <v>3.17</v>
      </c>
      <c r="E76" s="3">
        <v>2.836</v>
      </c>
      <c r="F76" s="8">
        <v>-0.0332</v>
      </c>
    </row>
    <row r="77">
      <c r="A77" s="12">
        <v>44849.0</v>
      </c>
      <c r="B77" s="3">
        <v>3.051</v>
      </c>
      <c r="C77" s="3">
        <v>2.996</v>
      </c>
      <c r="D77" s="3">
        <v>3.196</v>
      </c>
      <c r="E77" s="3">
        <v>2.921</v>
      </c>
      <c r="F77" s="10">
        <f>+1.8%</f>
        <v>0.018</v>
      </c>
    </row>
    <row r="78">
      <c r="A78" s="12">
        <v>44856.0</v>
      </c>
      <c r="B78" s="3">
        <v>2.627</v>
      </c>
      <c r="C78" s="3">
        <v>2.974</v>
      </c>
      <c r="D78" s="3">
        <v>3.033</v>
      </c>
      <c r="E78" s="3">
        <v>2.417</v>
      </c>
      <c r="F78" s="8">
        <v>-0.139</v>
      </c>
    </row>
    <row r="79">
      <c r="A79" s="12">
        <v>44863.0</v>
      </c>
      <c r="B79" s="3">
        <v>2.888</v>
      </c>
      <c r="C79" s="3">
        <v>2.677</v>
      </c>
      <c r="D79" s="3">
        <v>2.935</v>
      </c>
      <c r="E79" s="3">
        <v>2.621</v>
      </c>
      <c r="F79" s="10">
        <f>+9.94%</f>
        <v>0.0994</v>
      </c>
    </row>
    <row r="80">
      <c r="A80" s="11">
        <v>44870.0</v>
      </c>
      <c r="B80" s="3">
        <v>2.831</v>
      </c>
      <c r="C80" s="3">
        <v>2.934</v>
      </c>
      <c r="D80" s="3">
        <v>2.975</v>
      </c>
      <c r="E80" s="3">
        <v>2.561</v>
      </c>
      <c r="F80" s="8">
        <v>-0.0197</v>
      </c>
    </row>
    <row r="81">
      <c r="A81" s="12">
        <v>44877.0</v>
      </c>
      <c r="B81" s="3">
        <v>2.643</v>
      </c>
      <c r="C81" s="3">
        <v>2.863</v>
      </c>
      <c r="D81" s="3">
        <v>2.874</v>
      </c>
      <c r="E81" s="3">
        <v>2.63</v>
      </c>
      <c r="F81" s="8">
        <v>-0.0664</v>
      </c>
    </row>
    <row r="82">
      <c r="A82" s="12">
        <v>44884.0</v>
      </c>
      <c r="B82" s="3">
        <v>2.712</v>
      </c>
      <c r="C82" s="3">
        <v>2.68</v>
      </c>
      <c r="D82" s="3">
        <v>2.797</v>
      </c>
      <c r="E82" s="3">
        <v>2.609</v>
      </c>
      <c r="F82" s="10">
        <f>+2.61%</f>
        <v>0.0261</v>
      </c>
    </row>
    <row r="83">
      <c r="A83" s="12">
        <v>44891.0</v>
      </c>
      <c r="B83" s="3">
        <v>2.621</v>
      </c>
      <c r="C83" s="3">
        <v>2.729</v>
      </c>
      <c r="D83" s="3">
        <v>2.812</v>
      </c>
      <c r="E83" s="3">
        <v>2.485</v>
      </c>
      <c r="F83" s="8">
        <v>-0.0336</v>
      </c>
    </row>
    <row r="84">
      <c r="A84" s="11">
        <v>44898.0</v>
      </c>
      <c r="B84" s="3">
        <v>2.626</v>
      </c>
      <c r="C84" s="3">
        <v>2.622</v>
      </c>
      <c r="D84" s="3">
        <v>2.682</v>
      </c>
      <c r="E84" s="3">
        <v>2.471</v>
      </c>
      <c r="F84" s="10">
        <f>+0.19%</f>
        <v>0.0019</v>
      </c>
    </row>
    <row r="85">
      <c r="A85" s="12">
        <v>44905.0</v>
      </c>
      <c r="B85" s="3">
        <v>3.118</v>
      </c>
      <c r="C85" s="3">
        <v>2.675</v>
      </c>
      <c r="D85" s="3">
        <v>3.264</v>
      </c>
      <c r="E85" s="3">
        <v>2.574</v>
      </c>
      <c r="F85" s="10">
        <f>+18.74%</f>
        <v>0.1874</v>
      </c>
    </row>
    <row r="86">
      <c r="A86" s="12">
        <v>44912.0</v>
      </c>
      <c r="B86" s="3">
        <v>3.162</v>
      </c>
      <c r="C86" s="3">
        <v>3.144</v>
      </c>
      <c r="D86" s="3">
        <v>3.209</v>
      </c>
      <c r="E86" s="3">
        <v>3.075</v>
      </c>
      <c r="F86" s="10">
        <f>+1.41%</f>
        <v>0.0141</v>
      </c>
    </row>
    <row r="87">
      <c r="A87" s="12">
        <v>44919.0</v>
      </c>
      <c r="B87" s="3">
        <v>3.278</v>
      </c>
      <c r="C87" s="3">
        <v>3.178</v>
      </c>
      <c r="D87" s="3">
        <v>3.304</v>
      </c>
      <c r="E87" s="3">
        <v>3.159</v>
      </c>
      <c r="F87" s="10">
        <f>+3.67%</f>
        <v>0.0367</v>
      </c>
    </row>
    <row r="88">
      <c r="A88" s="12">
        <v>44926.0</v>
      </c>
      <c r="B88" s="3">
        <v>3.075</v>
      </c>
      <c r="C88" s="3">
        <v>3.285</v>
      </c>
      <c r="D88" s="3">
        <v>3.313</v>
      </c>
      <c r="E88" s="3">
        <v>3.05</v>
      </c>
      <c r="F88" s="8">
        <v>-0.0619</v>
      </c>
    </row>
    <row r="89">
      <c r="A89" s="11">
        <v>44933.0</v>
      </c>
      <c r="B89" s="3">
        <v>3.005</v>
      </c>
      <c r="C89" s="3">
        <v>3.107</v>
      </c>
      <c r="D89" s="3">
        <v>3.171</v>
      </c>
      <c r="E89" s="3">
        <v>2.927</v>
      </c>
      <c r="F89" s="8">
        <v>-0.0228</v>
      </c>
    </row>
    <row r="90">
      <c r="A90" s="12">
        <v>44940.0</v>
      </c>
      <c r="B90" s="3">
        <v>3.052</v>
      </c>
      <c r="C90" s="3">
        <v>2.999</v>
      </c>
      <c r="D90" s="3">
        <v>3.063</v>
      </c>
      <c r="E90" s="3">
        <v>2.795</v>
      </c>
      <c r="F90" s="10">
        <f>+1.56%</f>
        <v>0.0156</v>
      </c>
    </row>
    <row r="91">
      <c r="A91" s="12">
        <v>44947.0</v>
      </c>
      <c r="B91" s="3">
        <v>3.181</v>
      </c>
      <c r="C91" s="3">
        <v>3.09</v>
      </c>
      <c r="D91" s="3">
        <v>3.207</v>
      </c>
      <c r="E91" s="3">
        <v>2.989</v>
      </c>
      <c r="F91" s="10">
        <f>+4.23%</f>
        <v>0.0423</v>
      </c>
    </row>
    <row r="92">
      <c r="A92" s="12">
        <v>44954.0</v>
      </c>
      <c r="B92" s="3">
        <v>3.032</v>
      </c>
      <c r="C92" s="3">
        <v>3.162</v>
      </c>
      <c r="D92" s="3">
        <v>3.308</v>
      </c>
      <c r="E92" s="3">
        <v>2.949</v>
      </c>
      <c r="F92" s="8">
        <v>-0.0468</v>
      </c>
    </row>
    <row r="93">
      <c r="A93" s="11">
        <v>44961.0</v>
      </c>
      <c r="B93" s="3">
        <v>3.273</v>
      </c>
      <c r="C93" s="3">
        <v>3.079</v>
      </c>
      <c r="D93" s="3">
        <v>3.31</v>
      </c>
      <c r="E93" s="3">
        <v>3.079</v>
      </c>
      <c r="F93" s="10">
        <f>+7.95%</f>
        <v>0.0795</v>
      </c>
    </row>
    <row r="94">
      <c r="A94" s="12">
        <v>44968.0</v>
      </c>
      <c r="B94" s="3">
        <v>3.423</v>
      </c>
      <c r="C94" s="3">
        <v>3.297</v>
      </c>
      <c r="D94" s="3">
        <v>3.558</v>
      </c>
      <c r="E94" s="3">
        <v>3.22</v>
      </c>
      <c r="F94" s="10">
        <f>+4.58%</f>
        <v>0.0458</v>
      </c>
    </row>
    <row r="95">
      <c r="A95" s="12">
        <v>44975.0</v>
      </c>
      <c r="B95" s="3">
        <v>3.664</v>
      </c>
      <c r="C95" s="3">
        <v>3.411</v>
      </c>
      <c r="D95" s="3">
        <v>3.681</v>
      </c>
      <c r="E95" s="3">
        <v>3.395</v>
      </c>
      <c r="F95" s="10">
        <f>+7.04%</f>
        <v>0.0704</v>
      </c>
    </row>
    <row r="96">
      <c r="A96" s="12">
        <v>44982.0</v>
      </c>
      <c r="B96" s="3">
        <v>3.862</v>
      </c>
      <c r="C96" s="3">
        <v>3.635</v>
      </c>
      <c r="D96" s="3">
        <v>3.868</v>
      </c>
      <c r="E96" s="3">
        <v>3.615</v>
      </c>
      <c r="F96" s="10">
        <f>+5.4%</f>
        <v>0.054</v>
      </c>
    </row>
    <row r="97">
      <c r="A97" s="11">
        <v>44989.0</v>
      </c>
      <c r="B97" s="3">
        <v>3.654</v>
      </c>
      <c r="C97" s="3">
        <v>3.759</v>
      </c>
      <c r="D97" s="3">
        <v>3.91</v>
      </c>
      <c r="E97" s="3">
        <v>3.571</v>
      </c>
      <c r="F97" s="8">
        <v>-0.0539</v>
      </c>
    </row>
    <row r="98">
      <c r="A98" s="12">
        <v>44996.0</v>
      </c>
      <c r="B98" s="3">
        <v>3.041</v>
      </c>
      <c r="C98" s="3">
        <v>3.583</v>
      </c>
      <c r="D98" s="3">
        <v>3.663</v>
      </c>
      <c r="E98" s="3">
        <v>3.004</v>
      </c>
      <c r="F98" s="8">
        <v>-0.1678</v>
      </c>
    </row>
    <row r="99">
      <c r="A99" s="12">
        <v>45003.0</v>
      </c>
      <c r="B99" s="3">
        <v>2.925</v>
      </c>
      <c r="C99" s="3">
        <v>2.911</v>
      </c>
      <c r="D99" s="3">
        <v>3.179</v>
      </c>
      <c r="E99" s="3">
        <v>2.859</v>
      </c>
      <c r="F99" s="8">
        <v>-0.0381</v>
      </c>
    </row>
    <row r="100">
      <c r="A100" s="12">
        <v>45010.0</v>
      </c>
      <c r="B100" s="3">
        <v>3.182</v>
      </c>
      <c r="C100" s="3">
        <v>2.992</v>
      </c>
      <c r="D100" s="3">
        <v>3.298</v>
      </c>
      <c r="E100" s="3">
        <v>2.933</v>
      </c>
      <c r="F100" s="10">
        <f>+8.79%</f>
        <v>0.0879</v>
      </c>
    </row>
    <row r="101">
      <c r="A101" s="11">
        <v>45017.0</v>
      </c>
      <c r="B101" s="3">
        <v>3.082</v>
      </c>
      <c r="C101" s="3">
        <v>3.212</v>
      </c>
      <c r="D101" s="3">
        <v>3.256</v>
      </c>
      <c r="E101" s="3">
        <v>3.028</v>
      </c>
      <c r="F101" s="8">
        <v>-0.0314</v>
      </c>
    </row>
    <row r="102">
      <c r="A102" s="11">
        <v>45024.0</v>
      </c>
      <c r="B102" s="3">
        <v>3.382</v>
      </c>
      <c r="C102" s="3">
        <v>3.168</v>
      </c>
      <c r="D102" s="3">
        <v>3.397</v>
      </c>
      <c r="E102" s="3">
        <v>3.154</v>
      </c>
      <c r="F102" s="10">
        <f>+9.73%</f>
        <v>0.0973</v>
      </c>
    </row>
    <row r="103">
      <c r="A103" s="12">
        <v>45031.0</v>
      </c>
      <c r="B103" s="3">
        <v>3.485</v>
      </c>
      <c r="C103" s="3">
        <v>3.378</v>
      </c>
      <c r="D103" s="3">
        <v>3.507</v>
      </c>
      <c r="E103" s="3">
        <v>3.363</v>
      </c>
      <c r="F103" s="10">
        <f>+3.05%</f>
        <v>0.0305</v>
      </c>
    </row>
    <row r="104">
      <c r="A104" s="12">
        <v>45038.0</v>
      </c>
      <c r="B104" s="3">
        <v>3.471</v>
      </c>
      <c r="C104" s="3">
        <v>3.452</v>
      </c>
      <c r="D104" s="3">
        <v>3.52</v>
      </c>
      <c r="E104" s="3">
        <v>3.323</v>
      </c>
      <c r="F104" s="8">
        <v>-0.004</v>
      </c>
    </row>
    <row r="105">
      <c r="A105" s="12">
        <v>45045.0</v>
      </c>
      <c r="B105" s="3">
        <v>3.278</v>
      </c>
      <c r="C105" s="3">
        <v>3.373</v>
      </c>
      <c r="D105" s="3">
        <v>3.386</v>
      </c>
      <c r="E105" s="3">
        <v>3.201</v>
      </c>
      <c r="F105" s="8">
        <v>-0.0556</v>
      </c>
    </row>
    <row r="106">
      <c r="A106" s="7">
        <v>45052.0</v>
      </c>
      <c r="B106" s="3">
        <v>3.257</v>
      </c>
      <c r="C106" s="3">
        <v>3.274</v>
      </c>
      <c r="D106" s="3">
        <v>3.349</v>
      </c>
      <c r="E106" s="3">
        <v>3.222</v>
      </c>
      <c r="F106" s="8">
        <v>-0.0064</v>
      </c>
    </row>
    <row r="107">
      <c r="A107" s="9">
        <v>45059.0</v>
      </c>
      <c r="B107" s="3">
        <v>3.434</v>
      </c>
      <c r="C107" s="3">
        <v>3.313</v>
      </c>
      <c r="D107" s="3">
        <v>3.51</v>
      </c>
      <c r="E107" s="3">
        <v>3.292</v>
      </c>
      <c r="F107" s="10">
        <f>+5.43%</f>
        <v>0.0543</v>
      </c>
    </row>
    <row r="108">
      <c r="A108" s="9">
        <v>45066.0</v>
      </c>
      <c r="B108" s="3">
        <v>3.549</v>
      </c>
      <c r="C108" s="3">
        <v>3.441</v>
      </c>
      <c r="D108" s="3">
        <v>3.582</v>
      </c>
      <c r="E108" s="3">
        <v>3.417</v>
      </c>
      <c r="F108" s="10">
        <f>+3.35%</f>
        <v>0.0335</v>
      </c>
    </row>
    <row r="109">
      <c r="A109" s="9">
        <v>45073.0</v>
      </c>
      <c r="B109" s="3">
        <v>3.346</v>
      </c>
      <c r="C109" s="3">
        <v>3.547</v>
      </c>
      <c r="D109" s="3">
        <v>3.555</v>
      </c>
      <c r="E109" s="3">
        <v>3.326</v>
      </c>
      <c r="F109" s="8">
        <v>-0.0572</v>
      </c>
    </row>
    <row r="110">
      <c r="A110" s="11">
        <v>45080.0</v>
      </c>
      <c r="B110" s="3">
        <v>3.518</v>
      </c>
      <c r="C110" s="3">
        <v>3.372</v>
      </c>
      <c r="D110" s="3">
        <v>3.625</v>
      </c>
      <c r="E110" s="3">
        <v>3.363</v>
      </c>
      <c r="F110" s="10">
        <f>+5.14%</f>
        <v>0.0514</v>
      </c>
    </row>
    <row r="111">
      <c r="A111" s="12">
        <v>45087.0</v>
      </c>
      <c r="B111" s="3">
        <v>3.676</v>
      </c>
      <c r="C111" s="3">
        <v>3.526</v>
      </c>
      <c r="D111" s="3">
        <v>3.776</v>
      </c>
      <c r="E111" s="3">
        <v>3.446</v>
      </c>
      <c r="F111" s="10">
        <f>+4.49%</f>
        <v>0.0449</v>
      </c>
    </row>
    <row r="112">
      <c r="A112" s="12">
        <v>45094.0</v>
      </c>
      <c r="B112" s="3">
        <v>3.771</v>
      </c>
      <c r="C112" s="3">
        <v>3.673</v>
      </c>
      <c r="D112" s="3">
        <v>3.846</v>
      </c>
      <c r="E112" s="3">
        <v>3.659</v>
      </c>
      <c r="F112" s="10">
        <f>+2.58%</f>
        <v>0.0258</v>
      </c>
    </row>
    <row r="113">
      <c r="A113" s="12">
        <v>45101.0</v>
      </c>
      <c r="B113" s="3">
        <v>3.924</v>
      </c>
      <c r="C113" s="3">
        <v>3.766</v>
      </c>
      <c r="D113" s="3">
        <v>3.955</v>
      </c>
      <c r="E113" s="3">
        <v>3.705</v>
      </c>
      <c r="F113" s="10">
        <f>+4.06%</f>
        <v>0.0406</v>
      </c>
    </row>
    <row r="114">
      <c r="A114" s="11">
        <v>45108.0</v>
      </c>
      <c r="B114" s="3">
        <v>3.923</v>
      </c>
      <c r="C114" s="3">
        <v>3.911</v>
      </c>
      <c r="D114" s="3">
        <v>4.032</v>
      </c>
      <c r="E114" s="3">
        <v>3.868</v>
      </c>
      <c r="F114" s="8">
        <v>-3.0E-4</v>
      </c>
    </row>
    <row r="115">
      <c r="A115" s="11">
        <v>45115.0</v>
      </c>
      <c r="B115" s="3">
        <v>3.851</v>
      </c>
      <c r="C115" s="3">
        <v>3.951</v>
      </c>
      <c r="D115" s="3">
        <v>4.008</v>
      </c>
      <c r="E115" s="3">
        <v>3.774</v>
      </c>
      <c r="F115" s="8">
        <v>-0.0184</v>
      </c>
    </row>
    <row r="116">
      <c r="A116" s="12">
        <v>45122.0</v>
      </c>
      <c r="B116" s="3">
        <v>3.76</v>
      </c>
      <c r="C116" s="3">
        <v>3.836</v>
      </c>
      <c r="D116" s="3">
        <v>3.862</v>
      </c>
      <c r="E116" s="3">
        <v>3.634</v>
      </c>
      <c r="F116" s="8">
        <v>-0.0236</v>
      </c>
    </row>
    <row r="117">
      <c r="A117" s="12">
        <v>45129.0</v>
      </c>
      <c r="B117" s="3">
        <v>3.697</v>
      </c>
      <c r="C117" s="3">
        <v>3.776</v>
      </c>
      <c r="D117" s="3">
        <v>3.81</v>
      </c>
      <c r="E117" s="3">
        <v>3.684</v>
      </c>
      <c r="F117" s="8">
        <v>-0.0168</v>
      </c>
    </row>
    <row r="118">
      <c r="A118" s="12">
        <v>45136.0</v>
      </c>
      <c r="B118" s="3">
        <v>3.724</v>
      </c>
      <c r="C118" s="3">
        <v>3.749</v>
      </c>
      <c r="D118" s="3">
        <v>3.802</v>
      </c>
      <c r="E118" s="3">
        <v>3.671</v>
      </c>
      <c r="F118" s="10">
        <f>+0.73%</f>
        <v>0.0073</v>
      </c>
    </row>
    <row r="119">
      <c r="A119" s="11">
        <v>45143.0</v>
      </c>
      <c r="B119" s="3">
        <v>3.696</v>
      </c>
      <c r="C119" s="3">
        <v>3.737</v>
      </c>
      <c r="D119" s="3">
        <v>3.765</v>
      </c>
      <c r="E119" s="3">
        <v>3.607</v>
      </c>
      <c r="F119" s="8">
        <v>-0.0075</v>
      </c>
    </row>
    <row r="120">
      <c r="A120" s="12">
        <v>45150.0</v>
      </c>
      <c r="B120" s="3">
        <v>3.762</v>
      </c>
      <c r="C120" s="3">
        <v>3.694</v>
      </c>
      <c r="D120" s="3">
        <v>3.864</v>
      </c>
      <c r="E120" s="3">
        <v>3.666</v>
      </c>
      <c r="F120" s="10">
        <f>+1.79%</f>
        <v>0.0179</v>
      </c>
    </row>
    <row r="121">
      <c r="A121" s="12">
        <v>45157.0</v>
      </c>
      <c r="B121" s="3">
        <v>3.745</v>
      </c>
      <c r="C121" s="3">
        <v>3.807</v>
      </c>
      <c r="D121" s="3">
        <v>3.834</v>
      </c>
      <c r="E121" s="3">
        <v>3.588</v>
      </c>
      <c r="F121" s="8">
        <v>-0.0045</v>
      </c>
    </row>
    <row r="122">
      <c r="A122" s="12">
        <v>45164.0</v>
      </c>
      <c r="B122" s="3">
        <v>3.694</v>
      </c>
      <c r="C122" s="3">
        <v>3.758</v>
      </c>
      <c r="D122" s="3">
        <v>3.784</v>
      </c>
      <c r="E122" s="3">
        <v>3.622</v>
      </c>
      <c r="F122" s="8">
        <v>-0.0136</v>
      </c>
    </row>
    <row r="123">
      <c r="A123" s="11">
        <v>45171.0</v>
      </c>
      <c r="B123" s="3">
        <v>3.771</v>
      </c>
      <c r="C123" s="3">
        <v>3.729</v>
      </c>
      <c r="D123" s="3">
        <v>3.829</v>
      </c>
      <c r="E123" s="3">
        <v>3.648</v>
      </c>
      <c r="F123" s="10">
        <f>+2.08%</f>
        <v>0.0208</v>
      </c>
    </row>
    <row r="124">
      <c r="A124" s="11">
        <v>45178.0</v>
      </c>
      <c r="B124" s="3">
        <v>3.897</v>
      </c>
      <c r="C124" s="3">
        <v>3.806</v>
      </c>
      <c r="D124" s="3">
        <v>3.921</v>
      </c>
      <c r="E124" s="3">
        <v>3.763</v>
      </c>
      <c r="F124" s="10">
        <f>+3.34%</f>
        <v>0.0334</v>
      </c>
    </row>
    <row r="125">
      <c r="A125" s="12">
        <v>45185.0</v>
      </c>
      <c r="B125" s="3">
        <v>3.963</v>
      </c>
      <c r="C125" s="3">
        <v>3.922</v>
      </c>
      <c r="D125" s="3">
        <v>4.001</v>
      </c>
      <c r="E125" s="3">
        <v>3.893</v>
      </c>
      <c r="F125" s="10">
        <f>+1.69%</f>
        <v>0.0169</v>
      </c>
    </row>
    <row r="126">
      <c r="A126" s="12">
        <v>45192.0</v>
      </c>
      <c r="B126" s="3">
        <v>4.019</v>
      </c>
      <c r="C126" s="3">
        <v>3.99</v>
      </c>
      <c r="D126" s="3">
        <v>4.193</v>
      </c>
      <c r="E126" s="3">
        <v>3.952</v>
      </c>
      <c r="F126" s="10">
        <f>+1.41%</f>
        <v>0.0141</v>
      </c>
    </row>
    <row r="127">
      <c r="A127" s="12">
        <v>45199.0</v>
      </c>
      <c r="B127" s="3">
        <v>4.028</v>
      </c>
      <c r="C127" s="3">
        <v>4.031</v>
      </c>
      <c r="D127" s="3">
        <v>4.132</v>
      </c>
      <c r="E127" s="3">
        <v>3.988</v>
      </c>
      <c r="F127" s="10">
        <f>+0.22%</f>
        <v>0.0022</v>
      </c>
    </row>
    <row r="128">
      <c r="A128" s="11">
        <v>45206.0</v>
      </c>
      <c r="B128" s="3">
        <v>4.028</v>
      </c>
      <c r="C128" s="3">
        <v>4.014</v>
      </c>
      <c r="D128" s="3">
        <v>4.055</v>
      </c>
      <c r="E128" s="3">
        <v>3.892</v>
      </c>
      <c r="F128" s="8">
        <v>0.0</v>
      </c>
    </row>
    <row r="129">
      <c r="A129" s="12">
        <v>45213.0</v>
      </c>
      <c r="B129" s="3">
        <v>4.053</v>
      </c>
      <c r="C129" s="3">
        <v>4.05</v>
      </c>
      <c r="D129" s="3">
        <v>4.187</v>
      </c>
      <c r="E129" s="3">
        <v>3.985</v>
      </c>
      <c r="F129" s="10">
        <f>+0.62%</f>
        <v>0.0062</v>
      </c>
    </row>
    <row r="130">
      <c r="A130" s="12">
        <v>45220.0</v>
      </c>
      <c r="B130" s="3">
        <v>3.925</v>
      </c>
      <c r="C130" s="3">
        <v>4.037</v>
      </c>
      <c r="D130" s="3">
        <v>4.084</v>
      </c>
      <c r="E130" s="3">
        <v>3.903</v>
      </c>
      <c r="F130" s="8">
        <v>-0.0316</v>
      </c>
    </row>
    <row r="131">
      <c r="A131" s="12">
        <v>45227.0</v>
      </c>
      <c r="B131" s="3">
        <v>3.704</v>
      </c>
      <c r="C131" s="3">
        <v>3.859</v>
      </c>
      <c r="D131" s="3">
        <v>3.895</v>
      </c>
      <c r="E131" s="3">
        <v>3.678</v>
      </c>
      <c r="F131" s="8">
        <v>-0.0563</v>
      </c>
    </row>
    <row r="132">
      <c r="A132" s="11">
        <v>45234.0</v>
      </c>
      <c r="B132" s="3">
        <v>3.786</v>
      </c>
      <c r="C132" s="3">
        <v>3.742</v>
      </c>
      <c r="D132" s="3">
        <v>3.822</v>
      </c>
      <c r="E132" s="3">
        <v>3.721</v>
      </c>
      <c r="F132" s="10">
        <f>+2.21%</f>
        <v>0.0221</v>
      </c>
    </row>
    <row r="133">
      <c r="A133" s="12">
        <v>45241.0</v>
      </c>
      <c r="B133" s="3">
        <v>3.599</v>
      </c>
      <c r="C133" s="3">
        <v>3.785</v>
      </c>
      <c r="D133" s="3">
        <v>3.806</v>
      </c>
      <c r="E133" s="3">
        <v>3.506</v>
      </c>
      <c r="F133" s="8">
        <v>-0.0494</v>
      </c>
    </row>
    <row r="134">
      <c r="A134" s="12">
        <v>45248.0</v>
      </c>
      <c r="B134" s="3">
        <v>3.674</v>
      </c>
      <c r="C134" s="3">
        <v>3.556</v>
      </c>
      <c r="D134" s="3">
        <v>3.689</v>
      </c>
      <c r="E134" s="3">
        <v>3.556</v>
      </c>
      <c r="F134" s="10">
        <f>+2.08%</f>
        <v>0.0208</v>
      </c>
    </row>
    <row r="135">
      <c r="A135" s="12">
        <v>45255.0</v>
      </c>
      <c r="B135" s="3">
        <v>3.241</v>
      </c>
      <c r="C135" s="3">
        <v>3.658</v>
      </c>
      <c r="D135" s="3">
        <v>3.666</v>
      </c>
      <c r="E135" s="3">
        <v>3.228</v>
      </c>
      <c r="F135" s="8">
        <v>-0.1179</v>
      </c>
    </row>
    <row r="136">
      <c r="A136" s="11">
        <v>45262.0</v>
      </c>
      <c r="B136" s="3">
        <v>3.325</v>
      </c>
      <c r="C136" s="3">
        <v>3.275</v>
      </c>
      <c r="D136" s="3">
        <v>3.341</v>
      </c>
      <c r="E136" s="3">
        <v>3.17</v>
      </c>
      <c r="F136" s="10">
        <f>+2.59%</f>
        <v>0.0259</v>
      </c>
    </row>
    <row r="137">
      <c r="A137" s="11">
        <v>45269.0</v>
      </c>
      <c r="B137" s="3">
        <v>3.113</v>
      </c>
      <c r="C137" s="3">
        <v>3.334</v>
      </c>
      <c r="D137" s="3">
        <v>3.365</v>
      </c>
      <c r="E137" s="3">
        <v>3.047</v>
      </c>
      <c r="F137" s="8">
        <v>-0.0638</v>
      </c>
    </row>
    <row r="138">
      <c r="A138" s="12">
        <v>45276.0</v>
      </c>
      <c r="B138" s="3">
        <v>2.921</v>
      </c>
      <c r="C138" s="3">
        <v>3.128</v>
      </c>
      <c r="D138" s="3">
        <v>3.144</v>
      </c>
      <c r="E138" s="3">
        <v>2.92</v>
      </c>
      <c r="F138" s="8">
        <v>-0.0617</v>
      </c>
    </row>
    <row r="139">
      <c r="A139" s="12">
        <v>45283.0</v>
      </c>
      <c r="B139" s="3">
        <v>3.008</v>
      </c>
      <c r="C139" s="3">
        <v>2.935</v>
      </c>
      <c r="D139" s="3">
        <v>3.032</v>
      </c>
      <c r="E139" s="3">
        <v>2.898</v>
      </c>
      <c r="F139" s="10">
        <f>+2.98%</f>
        <v>0.0298</v>
      </c>
    </row>
    <row r="140">
      <c r="A140" s="12">
        <v>45290.0</v>
      </c>
      <c r="B140" s="3">
        <v>3.148</v>
      </c>
      <c r="C140" s="3">
        <v>3.025</v>
      </c>
      <c r="D140" s="3">
        <v>3.217</v>
      </c>
      <c r="E140" s="3">
        <v>2.995</v>
      </c>
      <c r="F140" s="10">
        <f>+4.65%</f>
        <v>0.0465</v>
      </c>
    </row>
    <row r="141">
      <c r="A141" s="11">
        <v>45297.0</v>
      </c>
      <c r="B141" s="3">
        <v>3.062</v>
      </c>
      <c r="C141" s="3">
        <v>3.179</v>
      </c>
      <c r="D141" s="3">
        <v>3.233</v>
      </c>
      <c r="E141" s="3">
        <v>3.057</v>
      </c>
      <c r="F141" s="8">
        <v>-0.0273</v>
      </c>
    </row>
    <row r="142">
      <c r="A142" s="12">
        <v>45304.0</v>
      </c>
      <c r="B142" s="3">
        <v>3.242</v>
      </c>
      <c r="C142" s="3">
        <v>3.103</v>
      </c>
      <c r="D142" s="3">
        <v>3.256</v>
      </c>
      <c r="E142" s="3">
        <v>3.062</v>
      </c>
      <c r="F142" s="10">
        <f>+5.88%</f>
        <v>0.0588</v>
      </c>
    </row>
    <row r="143">
      <c r="A143" s="12">
        <v>45311.0</v>
      </c>
      <c r="B143" s="3">
        <v>3.111</v>
      </c>
      <c r="C143" s="3">
        <v>3.218</v>
      </c>
      <c r="D143" s="3">
        <v>3.267</v>
      </c>
      <c r="E143" s="3">
        <v>3.059</v>
      </c>
      <c r="F143" s="8">
        <v>-0.0404</v>
      </c>
    </row>
    <row r="144">
      <c r="A144" s="12">
        <v>45318.0</v>
      </c>
      <c r="B144" s="3">
        <v>3.199</v>
      </c>
      <c r="C144" s="3">
        <v>3.083</v>
      </c>
      <c r="D144" s="3">
        <v>3.221</v>
      </c>
      <c r="E144" s="3">
        <v>3.041</v>
      </c>
      <c r="F144" s="10">
        <f>+2.83%</f>
        <v>0.0283</v>
      </c>
    </row>
    <row r="145">
      <c r="A145" s="11">
        <v>45325.0</v>
      </c>
      <c r="B145" s="3">
        <v>3.389</v>
      </c>
      <c r="C145" s="3">
        <v>3.128</v>
      </c>
      <c r="D145" s="3">
        <v>3.404</v>
      </c>
      <c r="E145" s="3">
        <v>3.116</v>
      </c>
      <c r="F145" s="10">
        <f>+5.94%</f>
        <v>0.0594</v>
      </c>
    </row>
    <row r="146">
      <c r="A146" s="12">
        <v>45332.0</v>
      </c>
      <c r="B146" s="3">
        <v>3.394</v>
      </c>
      <c r="C146" s="3">
        <v>3.373</v>
      </c>
      <c r="D146" s="3">
        <v>3.434</v>
      </c>
      <c r="E146" s="3">
        <v>3.307</v>
      </c>
      <c r="F146" s="10">
        <f>+0.15%</f>
        <v>0.0015</v>
      </c>
    </row>
    <row r="147">
      <c r="A147" s="12">
        <v>45339.0</v>
      </c>
      <c r="B147" s="3">
        <v>3.396</v>
      </c>
      <c r="C147" s="3">
        <v>3.398</v>
      </c>
      <c r="D147" s="3">
        <v>3.504</v>
      </c>
      <c r="E147" s="3">
        <v>3.344</v>
      </c>
      <c r="F147" s="10">
        <f>+0.06%</f>
        <v>0.0006</v>
      </c>
    </row>
    <row r="148">
      <c r="A148" s="12">
        <v>45346.0</v>
      </c>
      <c r="B148" s="3">
        <v>3.482</v>
      </c>
      <c r="C148" s="3">
        <v>3.387</v>
      </c>
      <c r="D148" s="3">
        <v>3.536</v>
      </c>
      <c r="E148" s="3">
        <v>3.38</v>
      </c>
      <c r="F148" s="10">
        <f>+2.53%</f>
        <v>0.0253</v>
      </c>
    </row>
    <row r="149">
      <c r="A149" s="11">
        <v>45353.0</v>
      </c>
      <c r="B149" s="3">
        <v>3.323</v>
      </c>
      <c r="C149" s="3">
        <v>3.488</v>
      </c>
      <c r="D149" s="3">
        <v>3.496</v>
      </c>
      <c r="E149" s="3">
        <v>3.305</v>
      </c>
      <c r="F149" s="8">
        <v>-0.0457</v>
      </c>
    </row>
    <row r="150">
      <c r="A150" s="11">
        <v>45360.0</v>
      </c>
      <c r="B150" s="3">
        <v>3.47</v>
      </c>
      <c r="C150" s="3">
        <v>3.321</v>
      </c>
      <c r="D150" s="3">
        <v>3.479</v>
      </c>
      <c r="E150" s="3">
        <v>3.318</v>
      </c>
      <c r="F150" s="10">
        <f>+4.42%</f>
        <v>0.0442</v>
      </c>
    </row>
    <row r="151">
      <c r="A151" s="12">
        <v>45367.0</v>
      </c>
      <c r="B151" s="3">
        <v>3.397</v>
      </c>
      <c r="C151" s="3">
        <v>3.455</v>
      </c>
      <c r="D151" s="3">
        <v>3.473</v>
      </c>
      <c r="E151" s="3">
        <v>3.381</v>
      </c>
      <c r="F151" s="8">
        <v>-0.021</v>
      </c>
    </row>
    <row r="152">
      <c r="A152" s="12">
        <v>45374.0</v>
      </c>
      <c r="B152" s="3">
        <v>3.431</v>
      </c>
      <c r="C152" s="3">
        <v>3.39</v>
      </c>
      <c r="D152" s="3">
        <v>3.461</v>
      </c>
      <c r="E152" s="3">
        <v>3.366</v>
      </c>
      <c r="F152" s="10">
        <f>+1%</f>
        <v>0.01</v>
      </c>
    </row>
    <row r="153">
      <c r="A153" s="12">
        <v>45381.0</v>
      </c>
      <c r="B153" s="3">
        <v>3.46</v>
      </c>
      <c r="C153" s="3">
        <v>3.458</v>
      </c>
      <c r="D153" s="3">
        <v>3.507</v>
      </c>
      <c r="E153" s="3">
        <v>3.395</v>
      </c>
      <c r="F153" s="10">
        <f>+0.85%</f>
        <v>0.0085</v>
      </c>
    </row>
    <row r="154">
      <c r="A154" s="11">
        <v>45388.0</v>
      </c>
      <c r="B154" s="3">
        <v>3.441</v>
      </c>
      <c r="C154" s="3">
        <v>3.491</v>
      </c>
      <c r="D154" s="3">
        <v>3.553</v>
      </c>
      <c r="E154" s="3">
        <v>3.401</v>
      </c>
      <c r="F154" s="8">
        <v>-0.0055</v>
      </c>
    </row>
    <row r="155">
      <c r="A155" s="12">
        <v>45395.0</v>
      </c>
      <c r="B155" s="3">
        <v>3.581</v>
      </c>
      <c r="C155" s="3">
        <v>3.455</v>
      </c>
      <c r="D155" s="3">
        <v>3.59</v>
      </c>
      <c r="E155" s="3">
        <v>3.418</v>
      </c>
      <c r="F155" s="10">
        <f>+4.07%</f>
        <v>0.0407</v>
      </c>
    </row>
    <row r="156">
      <c r="A156" s="12">
        <v>45402.0</v>
      </c>
      <c r="B156" s="3">
        <v>3.558</v>
      </c>
      <c r="C156" s="3">
        <v>3.56</v>
      </c>
      <c r="D156" s="3">
        <v>3.62</v>
      </c>
      <c r="E156" s="3">
        <v>3.467</v>
      </c>
      <c r="F156" s="8">
        <v>-0.0064</v>
      </c>
    </row>
    <row r="157">
      <c r="A157" s="12">
        <v>45409.0</v>
      </c>
      <c r="B157" s="3">
        <v>3.486</v>
      </c>
      <c r="C157" s="3">
        <v>3.548</v>
      </c>
      <c r="D157" s="3">
        <v>3.595</v>
      </c>
      <c r="E157" s="3">
        <v>3.418</v>
      </c>
      <c r="F157" s="8">
        <v>-0.0202</v>
      </c>
    </row>
    <row r="158">
      <c r="A158" s="7">
        <v>45416.0</v>
      </c>
      <c r="B158" s="3">
        <v>3.549</v>
      </c>
      <c r="C158" s="3">
        <v>3.463</v>
      </c>
      <c r="D158" s="3">
        <v>3.559</v>
      </c>
      <c r="E158" s="3">
        <v>3.441</v>
      </c>
      <c r="F158" s="10">
        <f>+1.81%</f>
        <v>0.0181</v>
      </c>
    </row>
    <row r="159">
      <c r="A159" s="9">
        <v>45423.0</v>
      </c>
      <c r="B159" s="3">
        <v>3.529</v>
      </c>
      <c r="C159" s="3">
        <v>3.533</v>
      </c>
      <c r="D159" s="3">
        <v>3.564</v>
      </c>
      <c r="E159" s="3">
        <v>3.433</v>
      </c>
      <c r="F159" s="8">
        <v>-0.0056</v>
      </c>
    </row>
    <row r="160">
      <c r="A160" s="9">
        <v>45430.0</v>
      </c>
      <c r="B160" s="3">
        <v>3.639</v>
      </c>
      <c r="C160" s="3">
        <v>3.538</v>
      </c>
      <c r="D160" s="3">
        <v>3.664</v>
      </c>
      <c r="E160" s="3">
        <v>3.501</v>
      </c>
      <c r="F160" s="10">
        <f>+3.12%</f>
        <v>0.0312</v>
      </c>
    </row>
    <row r="161">
      <c r="A161" s="9">
        <v>45437.0</v>
      </c>
      <c r="B161" s="3">
        <v>3.599</v>
      </c>
      <c r="C161" s="3">
        <v>3.647</v>
      </c>
      <c r="D161" s="3">
        <v>3.654</v>
      </c>
      <c r="E161" s="3">
        <v>3.571</v>
      </c>
      <c r="F161" s="8">
        <v>-0.011</v>
      </c>
    </row>
    <row r="162">
      <c r="A162" s="11">
        <v>45444.0</v>
      </c>
      <c r="B162" s="3">
        <v>3.619</v>
      </c>
      <c r="C162" s="3">
        <v>3.595</v>
      </c>
      <c r="D162" s="3">
        <v>3.641</v>
      </c>
      <c r="E162" s="3">
        <v>3.494</v>
      </c>
      <c r="F162" s="10">
        <f>+0.56%</f>
        <v>0.0056</v>
      </c>
    </row>
    <row r="163">
      <c r="A163" s="11">
        <v>45451.0</v>
      </c>
      <c r="B163" s="3">
        <v>3.584</v>
      </c>
      <c r="C163" s="3">
        <v>3.646</v>
      </c>
      <c r="D163" s="3">
        <v>3.723</v>
      </c>
      <c r="E163" s="3">
        <v>3.549</v>
      </c>
      <c r="F163" s="8">
        <v>-0.0097</v>
      </c>
    </row>
    <row r="164">
      <c r="A164" s="12">
        <v>45458.0</v>
      </c>
      <c r="B164" s="3">
        <v>3.554</v>
      </c>
      <c r="C164" s="3">
        <v>3.577</v>
      </c>
      <c r="D164" s="3">
        <v>3.635</v>
      </c>
      <c r="E164" s="3">
        <v>3.514</v>
      </c>
      <c r="F164" s="8">
        <v>-0.0084</v>
      </c>
    </row>
    <row r="165">
      <c r="A165" s="12">
        <v>45465.0</v>
      </c>
      <c r="B165" s="3">
        <v>3.572</v>
      </c>
      <c r="C165" s="3">
        <v>3.54</v>
      </c>
      <c r="D165" s="3">
        <v>3.594</v>
      </c>
      <c r="E165" s="3">
        <v>3.508</v>
      </c>
      <c r="F165" s="10">
        <f>+0.51%</f>
        <v>0.0051</v>
      </c>
    </row>
    <row r="166">
      <c r="A166" s="12">
        <v>45472.0</v>
      </c>
      <c r="B166" s="3">
        <v>3.491</v>
      </c>
      <c r="C166" s="3">
        <v>3.575</v>
      </c>
      <c r="D166" s="3">
        <v>3.631</v>
      </c>
      <c r="E166" s="3">
        <v>3.474</v>
      </c>
      <c r="F166" s="8">
        <v>-0.0227</v>
      </c>
    </row>
    <row r="167">
      <c r="A167" s="11">
        <v>45479.0</v>
      </c>
      <c r="B167" s="3">
        <v>3.191</v>
      </c>
      <c r="C167" s="3">
        <v>3.509</v>
      </c>
      <c r="D167" s="3">
        <v>3.524</v>
      </c>
      <c r="E167" s="3">
        <v>3.166</v>
      </c>
      <c r="F167" s="8">
        <v>-0.0859</v>
      </c>
    </row>
    <row r="168">
      <c r="A168" s="12">
        <v>45486.0</v>
      </c>
      <c r="B168" s="3">
        <v>3.159</v>
      </c>
      <c r="C168" s="3">
        <v>3.189</v>
      </c>
      <c r="D168" s="3">
        <v>3.189</v>
      </c>
      <c r="E168" s="3">
        <v>3.102</v>
      </c>
      <c r="F168" s="8">
        <v>-0.01</v>
      </c>
    </row>
    <row r="169">
      <c r="A169" s="12">
        <v>45493.0</v>
      </c>
      <c r="B169" s="3">
        <v>3.079</v>
      </c>
      <c r="C169" s="3">
        <v>3.149</v>
      </c>
      <c r="D169" s="3">
        <v>3.184</v>
      </c>
      <c r="E169" s="3">
        <v>3.067</v>
      </c>
      <c r="F169" s="8">
        <v>-0.0253</v>
      </c>
    </row>
    <row r="170">
      <c r="A170" s="12">
        <v>45500.0</v>
      </c>
      <c r="B170" s="3">
        <v>2.87</v>
      </c>
      <c r="C170" s="3">
        <v>3.065</v>
      </c>
      <c r="D170" s="3">
        <v>3.075</v>
      </c>
      <c r="E170" s="3">
        <v>2.859</v>
      </c>
      <c r="F170" s="8">
        <v>-0.0679</v>
      </c>
    </row>
    <row r="171">
      <c r="A171" s="11">
        <v>45507.0</v>
      </c>
      <c r="B171" s="3">
        <v>2.895</v>
      </c>
      <c r="C171" s="3">
        <v>2.829</v>
      </c>
      <c r="D171" s="3">
        <v>2.961</v>
      </c>
      <c r="E171" s="3">
        <v>2.794</v>
      </c>
      <c r="F171" s="10">
        <f>+0.87%</f>
        <v>0.0087</v>
      </c>
    </row>
    <row r="172">
      <c r="A172" s="12">
        <v>45514.0</v>
      </c>
      <c r="B172" s="3">
        <v>2.957</v>
      </c>
      <c r="C172" s="3">
        <v>2.896</v>
      </c>
      <c r="D172" s="3">
        <v>2.974</v>
      </c>
      <c r="E172" s="3">
        <v>2.806</v>
      </c>
      <c r="F172" s="10">
        <f>+2.14%</f>
        <v>0.0214</v>
      </c>
    </row>
    <row r="173">
      <c r="A173" s="12">
        <v>45521.0</v>
      </c>
      <c r="B173" s="3">
        <v>2.794</v>
      </c>
      <c r="C173" s="3">
        <v>2.915</v>
      </c>
      <c r="D173" s="3">
        <v>2.957</v>
      </c>
      <c r="E173" s="3">
        <v>2.784</v>
      </c>
      <c r="F173" s="8">
        <v>-0.0551</v>
      </c>
    </row>
    <row r="174">
      <c r="A174" s="12">
        <v>45528.0</v>
      </c>
      <c r="B174" s="3">
        <v>2.861</v>
      </c>
      <c r="C174" s="3">
        <v>2.791</v>
      </c>
      <c r="D174" s="3">
        <v>2.887</v>
      </c>
      <c r="E174" s="3">
        <v>2.789</v>
      </c>
      <c r="F174" s="10">
        <f>+2.4%</f>
        <v>0.024</v>
      </c>
    </row>
    <row r="175">
      <c r="A175" s="12">
        <v>45535.0</v>
      </c>
      <c r="B175" s="3">
        <v>2.693</v>
      </c>
      <c r="C175" s="3">
        <v>2.883</v>
      </c>
      <c r="D175" s="3">
        <v>2.914</v>
      </c>
      <c r="E175" s="3">
        <v>2.67</v>
      </c>
      <c r="F175" s="8">
        <v>-0.0587</v>
      </c>
    </row>
    <row r="176">
      <c r="A176" s="11">
        <v>45542.0</v>
      </c>
      <c r="B176" s="3">
        <v>2.613</v>
      </c>
      <c r="C176" s="3">
        <v>2.719</v>
      </c>
      <c r="D176" s="3">
        <v>2.733</v>
      </c>
      <c r="E176" s="3">
        <v>2.585</v>
      </c>
      <c r="F176" s="8">
        <v>-0.0297</v>
      </c>
    </row>
    <row r="177">
      <c r="A177" s="12">
        <v>45549.0</v>
      </c>
      <c r="B177" s="3">
        <v>2.629</v>
      </c>
      <c r="C177" s="3">
        <v>2.603</v>
      </c>
      <c r="D177" s="3">
        <v>2.681</v>
      </c>
      <c r="E177" s="3">
        <v>2.559</v>
      </c>
      <c r="F177" s="10">
        <f>+0.61%</f>
        <v>0.0061</v>
      </c>
    </row>
    <row r="178">
      <c r="A178" s="12">
        <v>45556.0</v>
      </c>
      <c r="B178" s="3">
        <v>2.467</v>
      </c>
      <c r="C178" s="3">
        <v>2.612</v>
      </c>
      <c r="D178" s="3">
        <v>2.615</v>
      </c>
      <c r="E178" s="3">
        <v>2.434</v>
      </c>
      <c r="F178" s="8">
        <v>-0.0616</v>
      </c>
    </row>
    <row r="179">
      <c r="A179" s="12">
        <v>45563.0</v>
      </c>
      <c r="B179" s="3">
        <v>2.63</v>
      </c>
      <c r="C179" s="3">
        <v>2.475</v>
      </c>
      <c r="D179" s="3">
        <v>2.78</v>
      </c>
      <c r="E179" s="3">
        <v>2.405</v>
      </c>
      <c r="F179" s="10">
        <f>+6.61%</f>
        <v>0.0661</v>
      </c>
    </row>
    <row r="180">
      <c r="A180" s="11">
        <v>45570.0</v>
      </c>
      <c r="B180" s="3">
        <v>2.748</v>
      </c>
      <c r="C180" s="3">
        <v>2.656</v>
      </c>
      <c r="D180" s="3">
        <v>2.836</v>
      </c>
      <c r="E180" s="3">
        <v>2.627</v>
      </c>
      <c r="F180" s="10">
        <f>+4.49%</f>
        <v>0.0449</v>
      </c>
    </row>
    <row r="181">
      <c r="A181" s="12">
        <v>45577.0</v>
      </c>
      <c r="B181" s="3">
        <v>2.493</v>
      </c>
      <c r="C181" s="3">
        <v>2.715</v>
      </c>
      <c r="D181" s="3">
        <v>2.955</v>
      </c>
      <c r="E181" s="3">
        <v>2.506</v>
      </c>
      <c r="F181" s="8">
        <v>-0.0926</v>
      </c>
    </row>
    <row r="182">
      <c r="A182" s="12">
        <v>45584.0</v>
      </c>
      <c r="B182" s="3">
        <v>2.589</v>
      </c>
      <c r="C182" s="3">
        <v>2.556</v>
      </c>
      <c r="D182" s="3">
        <v>2.73</v>
      </c>
      <c r="E182" s="3">
        <v>2.533</v>
      </c>
      <c r="F182" s="10">
        <f>+3.85%</f>
        <v>0.0385</v>
      </c>
    </row>
    <row r="183">
      <c r="A183" s="12">
        <v>45591.0</v>
      </c>
      <c r="B183" s="3">
        <v>2.754</v>
      </c>
      <c r="C183" s="3">
        <v>2.634</v>
      </c>
      <c r="D183" s="3">
        <v>2.906</v>
      </c>
      <c r="E183" s="3">
        <v>2.565</v>
      </c>
      <c r="F183" s="10">
        <f>+6.35%</f>
        <v>0.0635</v>
      </c>
    </row>
    <row r="184">
      <c r="A184" s="11">
        <v>45598.0</v>
      </c>
      <c r="B184" s="3">
        <v>2.693</v>
      </c>
      <c r="C184" s="3">
        <v>2.813</v>
      </c>
      <c r="D184" s="3">
        <v>2.999</v>
      </c>
      <c r="E184" s="3">
        <v>2.692</v>
      </c>
      <c r="F184" s="8">
        <v>-0.0223</v>
      </c>
    </row>
    <row r="185">
      <c r="A185" s="11">
        <v>45605.0</v>
      </c>
      <c r="B185" s="3">
        <v>2.566</v>
      </c>
      <c r="C185" s="3">
        <v>2.703</v>
      </c>
      <c r="D185" s="3">
        <v>2.761</v>
      </c>
      <c r="E185" s="3">
        <v>2.545</v>
      </c>
      <c r="F185" s="8">
        <v>-0.047</v>
      </c>
    </row>
    <row r="186">
      <c r="A186" s="12">
        <v>45612.0</v>
      </c>
      <c r="B186" s="3">
        <v>2.445</v>
      </c>
      <c r="C186" s="3">
        <v>2.614</v>
      </c>
      <c r="D186" s="3">
        <v>2.663</v>
      </c>
      <c r="E186" s="3">
        <v>2.449</v>
      </c>
      <c r="F186" s="8">
        <v>-0.0472</v>
      </c>
    </row>
    <row r="187">
      <c r="A187" s="12">
        <v>45619.0</v>
      </c>
      <c r="B187" s="3">
        <v>2.336</v>
      </c>
      <c r="C187" s="3">
        <v>2.461</v>
      </c>
      <c r="D187" s="3">
        <v>2.527</v>
      </c>
      <c r="E187" s="3">
        <v>2.353</v>
      </c>
      <c r="F187" s="8">
        <v>-0.0446</v>
      </c>
    </row>
    <row r="188">
      <c r="A188" s="12">
        <v>45626.0</v>
      </c>
      <c r="B188" s="3">
        <v>2.352</v>
      </c>
      <c r="C188" s="3">
        <v>2.355</v>
      </c>
      <c r="D188" s="3">
        <v>2.413</v>
      </c>
      <c r="E188" s="3">
        <v>2.311</v>
      </c>
      <c r="F188" s="10">
        <f>+0.71%</f>
        <v>0.0071</v>
      </c>
    </row>
    <row r="189">
      <c r="A189" s="11">
        <v>45633.0</v>
      </c>
      <c r="B189" s="3">
        <v>2.405</v>
      </c>
      <c r="C189" s="3">
        <v>2.363</v>
      </c>
      <c r="D189" s="3">
        <v>2.42</v>
      </c>
      <c r="E189" s="3">
        <v>2.275</v>
      </c>
      <c r="F189" s="10">
        <f>+2.21%</f>
        <v>0.0221</v>
      </c>
    </row>
    <row r="190">
      <c r="A190" s="12">
        <v>45640.0</v>
      </c>
      <c r="B190" s="3">
        <v>2.389</v>
      </c>
      <c r="C190" s="3">
        <v>2.406</v>
      </c>
      <c r="D190" s="3">
        <v>2.458</v>
      </c>
      <c r="E190" s="3">
        <v>2.372</v>
      </c>
      <c r="F190" s="8">
        <v>-0.0062</v>
      </c>
    </row>
    <row r="191">
      <c r="A191" s="12">
        <v>45647.0</v>
      </c>
      <c r="B191" s="3">
        <v>2.418</v>
      </c>
      <c r="C191" s="3">
        <v>2.427</v>
      </c>
      <c r="D191" s="3">
        <v>2.462</v>
      </c>
      <c r="E191" s="3">
        <v>2.404</v>
      </c>
      <c r="F191" s="10">
        <f>+1.19%</f>
        <v>0.0119</v>
      </c>
    </row>
    <row r="192">
      <c r="A192" s="12">
        <v>45654.0</v>
      </c>
      <c r="B192" s="3">
        <v>2.503</v>
      </c>
      <c r="C192" s="3">
        <v>2.412</v>
      </c>
      <c r="D192" s="3">
        <v>2.523</v>
      </c>
      <c r="E192" s="3">
        <v>2.384</v>
      </c>
      <c r="F192" s="10">
        <f>+3.52%</f>
        <v>0.0352</v>
      </c>
    </row>
    <row r="193">
      <c r="A193" s="11">
        <v>45661.0</v>
      </c>
      <c r="B193" s="3">
        <v>2.671</v>
      </c>
      <c r="C193" s="3">
        <v>2.516</v>
      </c>
      <c r="D193" s="3">
        <v>2.688</v>
      </c>
      <c r="E193" s="3">
        <v>2.489</v>
      </c>
      <c r="F193" s="10">
        <f>+6.73%</f>
        <v>0.0673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3">
        <v>44313.0</v>
      </c>
      <c r="B1" s="1">
        <v>-0.56</v>
      </c>
      <c r="C1" s="6">
        <f>MOD(ROW(F1)-ROW($F$1), 7)</f>
        <v>0</v>
      </c>
    </row>
    <row r="2" hidden="1">
      <c r="A2" s="14">
        <v>44314.0</v>
      </c>
      <c r="B2" s="4">
        <v>-0.566</v>
      </c>
      <c r="C2" s="6">
        <f t="shared" ref="C2:C953" si="1">MOD(ROW(F2)-ROW($F$1), 5)</f>
        <v>1</v>
      </c>
      <c r="D2" s="4"/>
      <c r="E2" s="15"/>
      <c r="F2" s="16"/>
    </row>
    <row r="3" hidden="1">
      <c r="A3" s="7">
        <v>44315.0</v>
      </c>
      <c r="B3" s="4">
        <v>-0.566</v>
      </c>
      <c r="C3" s="6">
        <f t="shared" si="1"/>
        <v>2</v>
      </c>
      <c r="D3" s="4"/>
      <c r="E3" s="4"/>
      <c r="F3" s="15"/>
      <c r="G3" s="17"/>
    </row>
    <row r="4" hidden="1">
      <c r="A4" s="7">
        <v>44316.0</v>
      </c>
      <c r="B4" s="4">
        <v>-0.569</v>
      </c>
      <c r="C4" s="6">
        <f t="shared" si="1"/>
        <v>3</v>
      </c>
      <c r="D4" s="4"/>
      <c r="E4" s="4"/>
      <c r="F4" s="15"/>
      <c r="G4" s="17"/>
    </row>
    <row r="5" hidden="1">
      <c r="A5" s="9">
        <v>44319.0</v>
      </c>
      <c r="B5" s="4">
        <v>-0.567</v>
      </c>
      <c r="C5" s="6">
        <f t="shared" si="1"/>
        <v>4</v>
      </c>
      <c r="D5" s="4"/>
      <c r="E5" s="4"/>
      <c r="F5" s="15"/>
      <c r="G5" s="17"/>
    </row>
    <row r="6">
      <c r="A6" s="9">
        <v>44320.0</v>
      </c>
      <c r="B6" s="4">
        <v>-0.564</v>
      </c>
      <c r="C6" s="6">
        <f t="shared" si="1"/>
        <v>0</v>
      </c>
      <c r="D6" s="4"/>
      <c r="E6" s="4"/>
      <c r="F6" s="15"/>
      <c r="G6" s="17"/>
    </row>
    <row r="7" hidden="1">
      <c r="A7" s="9">
        <v>44321.0</v>
      </c>
      <c r="B7" s="4">
        <v>-0.566</v>
      </c>
      <c r="C7" s="6">
        <f t="shared" si="1"/>
        <v>1</v>
      </c>
      <c r="D7" s="4"/>
      <c r="E7" s="4"/>
      <c r="F7" s="15"/>
      <c r="G7" s="17"/>
    </row>
    <row r="8" hidden="1">
      <c r="A8" s="11">
        <v>44322.0</v>
      </c>
      <c r="B8" s="4">
        <v>-0.565</v>
      </c>
      <c r="C8" s="6">
        <f t="shared" si="1"/>
        <v>2</v>
      </c>
      <c r="D8" s="4"/>
      <c r="E8" s="4"/>
      <c r="F8" s="15"/>
      <c r="G8" s="17"/>
    </row>
    <row r="9" hidden="1">
      <c r="A9" s="12">
        <v>44323.0</v>
      </c>
      <c r="B9" s="4">
        <v>-0.563</v>
      </c>
      <c r="C9" s="6">
        <f t="shared" si="1"/>
        <v>3</v>
      </c>
      <c r="D9" s="4"/>
      <c r="E9" s="4"/>
      <c r="F9" s="15"/>
      <c r="G9" s="17"/>
    </row>
    <row r="10" hidden="1">
      <c r="A10" s="12">
        <v>44326.0</v>
      </c>
      <c r="B10" s="4">
        <v>-0.567</v>
      </c>
      <c r="C10" s="6">
        <f t="shared" si="1"/>
        <v>4</v>
      </c>
      <c r="D10" s="4"/>
      <c r="E10" s="4"/>
      <c r="F10" s="15"/>
      <c r="G10" s="17"/>
    </row>
    <row r="11">
      <c r="A11" s="12">
        <v>44327.0</v>
      </c>
      <c r="B11" s="4">
        <v>-0.564</v>
      </c>
      <c r="C11" s="6">
        <f t="shared" si="1"/>
        <v>0</v>
      </c>
      <c r="D11" s="4"/>
      <c r="E11" s="4"/>
      <c r="F11" s="15"/>
      <c r="G11" s="17"/>
    </row>
    <row r="12" hidden="1">
      <c r="A12" s="11">
        <v>44328.0</v>
      </c>
      <c r="B12" s="4">
        <v>-0.564</v>
      </c>
      <c r="C12" s="6">
        <f t="shared" si="1"/>
        <v>1</v>
      </c>
      <c r="D12" s="4"/>
      <c r="E12" s="4"/>
      <c r="F12" s="15"/>
      <c r="G12" s="17"/>
    </row>
    <row r="13" hidden="1">
      <c r="A13" s="12">
        <v>44329.0</v>
      </c>
      <c r="B13" s="4">
        <v>-0.564</v>
      </c>
      <c r="C13" s="6">
        <f t="shared" si="1"/>
        <v>2</v>
      </c>
      <c r="D13" s="4"/>
      <c r="E13" s="4"/>
      <c r="F13" s="15"/>
      <c r="G13" s="17"/>
    </row>
    <row r="14" hidden="1">
      <c r="A14" s="12">
        <v>44330.0</v>
      </c>
      <c r="B14" s="4">
        <v>-0.564</v>
      </c>
      <c r="C14" s="6">
        <f t="shared" si="1"/>
        <v>3</v>
      </c>
      <c r="D14" s="4"/>
      <c r="E14" s="4"/>
      <c r="F14" s="15"/>
      <c r="G14" s="17"/>
    </row>
    <row r="15" hidden="1">
      <c r="A15" s="12">
        <v>44333.0</v>
      </c>
      <c r="B15" s="4">
        <v>-0.565</v>
      </c>
      <c r="C15" s="6">
        <f t="shared" si="1"/>
        <v>4</v>
      </c>
      <c r="D15" s="4"/>
      <c r="E15" s="4"/>
      <c r="F15" s="15"/>
      <c r="G15" s="17"/>
    </row>
    <row r="16">
      <c r="A16" s="12">
        <v>44334.0</v>
      </c>
      <c r="B16" s="4">
        <v>-0.558</v>
      </c>
      <c r="C16" s="6">
        <f t="shared" si="1"/>
        <v>0</v>
      </c>
      <c r="D16" s="4"/>
      <c r="E16" s="4"/>
      <c r="F16" s="15"/>
      <c r="G16" s="17"/>
    </row>
    <row r="17" hidden="1">
      <c r="A17" s="11">
        <v>44335.0</v>
      </c>
      <c r="B17" s="4">
        <v>-0.564</v>
      </c>
      <c r="C17" s="6">
        <f t="shared" si="1"/>
        <v>1</v>
      </c>
      <c r="D17" s="4"/>
      <c r="E17" s="4"/>
      <c r="F17" s="15"/>
      <c r="G17" s="17"/>
    </row>
    <row r="18" hidden="1">
      <c r="A18" s="12">
        <v>44336.0</v>
      </c>
      <c r="B18" s="4">
        <v>-0.563</v>
      </c>
      <c r="C18" s="6">
        <f t="shared" si="1"/>
        <v>2</v>
      </c>
      <c r="D18" s="4"/>
      <c r="E18" s="4"/>
      <c r="F18" s="15"/>
      <c r="G18" s="17"/>
    </row>
    <row r="19" hidden="1">
      <c r="A19" s="12">
        <v>44337.0</v>
      </c>
      <c r="B19" s="4">
        <v>-0.564</v>
      </c>
      <c r="C19" s="6">
        <f t="shared" si="1"/>
        <v>3</v>
      </c>
      <c r="D19" s="4"/>
      <c r="E19" s="4"/>
      <c r="F19" s="15"/>
      <c r="G19" s="17"/>
    </row>
    <row r="20" hidden="1">
      <c r="A20" s="12">
        <v>44340.0</v>
      </c>
      <c r="B20" s="4">
        <v>-0.566</v>
      </c>
      <c r="C20" s="6">
        <f t="shared" si="1"/>
        <v>4</v>
      </c>
      <c r="D20" s="4"/>
      <c r="E20" s="4"/>
      <c r="F20" s="15"/>
      <c r="G20" s="17"/>
    </row>
    <row r="21">
      <c r="A21" s="11">
        <v>44341.0</v>
      </c>
      <c r="B21" s="4">
        <v>-0.565</v>
      </c>
      <c r="C21" s="6">
        <f t="shared" si="1"/>
        <v>0</v>
      </c>
      <c r="D21" s="4"/>
      <c r="E21" s="4"/>
      <c r="F21" s="15"/>
      <c r="G21" s="17"/>
    </row>
    <row r="22" hidden="1">
      <c r="A22" s="12">
        <v>44342.0</v>
      </c>
      <c r="B22" s="4">
        <v>-0.565</v>
      </c>
      <c r="C22" s="6">
        <f t="shared" si="1"/>
        <v>1</v>
      </c>
      <c r="D22" s="4"/>
      <c r="E22" s="4"/>
      <c r="F22" s="15"/>
      <c r="G22" s="16"/>
    </row>
    <row r="23" hidden="1">
      <c r="A23" s="12">
        <v>44343.0</v>
      </c>
      <c r="B23" s="4">
        <v>-0.564</v>
      </c>
      <c r="C23" s="6">
        <f t="shared" si="1"/>
        <v>2</v>
      </c>
      <c r="D23" s="4"/>
      <c r="E23" s="4"/>
      <c r="F23" s="15"/>
      <c r="G23" s="17"/>
    </row>
    <row r="24" hidden="1">
      <c r="A24" s="12">
        <v>44344.0</v>
      </c>
      <c r="B24" s="4">
        <v>-0.566</v>
      </c>
      <c r="C24" s="6">
        <f t="shared" si="1"/>
        <v>3</v>
      </c>
      <c r="D24" s="4"/>
      <c r="E24" s="4"/>
      <c r="F24" s="15"/>
      <c r="G24" s="17"/>
    </row>
    <row r="25" hidden="1">
      <c r="A25" s="11">
        <v>44347.0</v>
      </c>
      <c r="B25" s="4">
        <v>-0.571</v>
      </c>
      <c r="C25" s="6">
        <f t="shared" si="1"/>
        <v>4</v>
      </c>
      <c r="D25" s="4"/>
      <c r="E25" s="4"/>
      <c r="F25" s="15"/>
      <c r="G25" s="17"/>
    </row>
    <row r="26">
      <c r="A26" s="11">
        <v>44348.0</v>
      </c>
      <c r="B26" s="4">
        <v>-0.564</v>
      </c>
      <c r="C26" s="6">
        <f t="shared" si="1"/>
        <v>0</v>
      </c>
      <c r="D26" s="4"/>
      <c r="E26" s="4"/>
      <c r="F26" s="15"/>
      <c r="G26" s="17"/>
    </row>
    <row r="27" hidden="1">
      <c r="A27" s="12">
        <v>44349.0</v>
      </c>
      <c r="B27" s="4">
        <v>-0.563</v>
      </c>
      <c r="C27" s="6">
        <f t="shared" si="1"/>
        <v>1</v>
      </c>
      <c r="D27" s="4"/>
      <c r="E27" s="4"/>
      <c r="F27" s="15"/>
      <c r="G27" s="17"/>
    </row>
    <row r="28" hidden="1">
      <c r="A28" s="12">
        <v>44350.0</v>
      </c>
      <c r="B28" s="4">
        <v>-0.563</v>
      </c>
      <c r="C28" s="6">
        <f t="shared" si="1"/>
        <v>2</v>
      </c>
      <c r="D28" s="4"/>
      <c r="E28" s="4"/>
      <c r="F28" s="15"/>
      <c r="G28" s="17"/>
    </row>
    <row r="29" hidden="1">
      <c r="A29" s="12">
        <v>44351.0</v>
      </c>
      <c r="B29" s="4">
        <v>-0.563</v>
      </c>
      <c r="C29" s="6">
        <f t="shared" si="1"/>
        <v>3</v>
      </c>
      <c r="D29" s="4"/>
      <c r="E29" s="4"/>
      <c r="F29" s="15"/>
      <c r="G29" s="17"/>
    </row>
    <row r="30" hidden="1">
      <c r="A30" s="11">
        <v>44354.0</v>
      </c>
      <c r="B30" s="4">
        <v>-0.564</v>
      </c>
      <c r="C30" s="6">
        <f t="shared" si="1"/>
        <v>4</v>
      </c>
      <c r="D30" s="4"/>
      <c r="E30" s="4"/>
      <c r="F30" s="15"/>
      <c r="G30" s="17"/>
    </row>
    <row r="31">
      <c r="A31" s="12">
        <v>44355.0</v>
      </c>
      <c r="B31" s="4">
        <v>-0.563</v>
      </c>
      <c r="C31" s="6">
        <f t="shared" si="1"/>
        <v>0</v>
      </c>
      <c r="D31" s="4"/>
      <c r="E31" s="4"/>
      <c r="F31" s="15"/>
      <c r="G31" s="17"/>
    </row>
    <row r="32" hidden="1">
      <c r="A32" s="12">
        <v>44356.0</v>
      </c>
      <c r="B32" s="4">
        <v>-0.564</v>
      </c>
      <c r="C32" s="6">
        <f t="shared" si="1"/>
        <v>1</v>
      </c>
      <c r="D32" s="4"/>
      <c r="E32" s="4"/>
      <c r="F32" s="15"/>
      <c r="G32" s="17"/>
    </row>
    <row r="33" hidden="1">
      <c r="A33" s="12">
        <v>44357.0</v>
      </c>
      <c r="B33" s="4">
        <v>-0.561</v>
      </c>
      <c r="C33" s="6">
        <f t="shared" si="1"/>
        <v>2</v>
      </c>
      <c r="D33" s="4"/>
      <c r="E33" s="4"/>
      <c r="F33" s="15"/>
      <c r="G33" s="17"/>
    </row>
    <row r="34" hidden="1">
      <c r="A34" s="11">
        <v>44358.0</v>
      </c>
      <c r="B34" s="4">
        <v>-0.566</v>
      </c>
      <c r="C34" s="6">
        <f t="shared" si="1"/>
        <v>3</v>
      </c>
      <c r="D34" s="4"/>
      <c r="E34" s="4"/>
      <c r="F34" s="15"/>
      <c r="G34" s="17"/>
    </row>
    <row r="35" hidden="1">
      <c r="A35" s="12">
        <v>44361.0</v>
      </c>
      <c r="B35" s="4">
        <v>-0.565</v>
      </c>
      <c r="C35" s="6">
        <f t="shared" si="1"/>
        <v>4</v>
      </c>
      <c r="D35" s="4"/>
      <c r="E35" s="4"/>
      <c r="F35" s="15"/>
      <c r="G35" s="17"/>
    </row>
    <row r="36">
      <c r="A36" s="12">
        <v>44362.0</v>
      </c>
      <c r="B36" s="4">
        <v>-0.561</v>
      </c>
      <c r="C36" s="6">
        <f t="shared" si="1"/>
        <v>0</v>
      </c>
    </row>
    <row r="37" hidden="1">
      <c r="A37" s="18">
        <v>44363.0</v>
      </c>
      <c r="B37" s="1">
        <v>-0.562</v>
      </c>
      <c r="C37" s="6">
        <f t="shared" si="1"/>
        <v>1</v>
      </c>
    </row>
    <row r="38" hidden="1">
      <c r="A38" s="13">
        <v>44364.0</v>
      </c>
      <c r="B38" s="1">
        <v>-0.563</v>
      </c>
      <c r="C38" s="6">
        <f t="shared" si="1"/>
        <v>2</v>
      </c>
    </row>
    <row r="39" hidden="1">
      <c r="A39" s="13">
        <v>44365.0</v>
      </c>
      <c r="B39" s="1">
        <v>-0.563</v>
      </c>
      <c r="C39" s="6">
        <f t="shared" si="1"/>
        <v>3</v>
      </c>
    </row>
    <row r="40" hidden="1">
      <c r="A40" s="13">
        <v>44368.0</v>
      </c>
      <c r="B40" s="1">
        <v>-0.564</v>
      </c>
      <c r="C40" s="6">
        <f t="shared" si="1"/>
        <v>4</v>
      </c>
    </row>
    <row r="41">
      <c r="A41" s="13">
        <v>44369.0</v>
      </c>
      <c r="B41" s="1">
        <v>-0.564</v>
      </c>
      <c r="C41" s="6">
        <f t="shared" si="1"/>
        <v>0</v>
      </c>
    </row>
    <row r="42" hidden="1">
      <c r="A42" s="13">
        <v>44370.0</v>
      </c>
      <c r="B42" s="1">
        <v>-0.563</v>
      </c>
      <c r="C42" s="6">
        <f t="shared" si="1"/>
        <v>1</v>
      </c>
    </row>
    <row r="43" hidden="1">
      <c r="A43" s="13">
        <v>44371.0</v>
      </c>
      <c r="B43" s="1">
        <v>-0.565</v>
      </c>
      <c r="C43" s="6">
        <f t="shared" si="1"/>
        <v>2</v>
      </c>
    </row>
    <row r="44" hidden="1">
      <c r="A44" s="13">
        <v>44372.0</v>
      </c>
      <c r="B44" s="1">
        <v>-0.565</v>
      </c>
      <c r="C44" s="6">
        <f t="shared" si="1"/>
        <v>3</v>
      </c>
    </row>
    <row r="45" hidden="1">
      <c r="A45" s="13">
        <v>44375.0</v>
      </c>
      <c r="B45" s="1">
        <v>-0.566</v>
      </c>
      <c r="C45" s="6">
        <f t="shared" si="1"/>
        <v>4</v>
      </c>
    </row>
    <row r="46">
      <c r="A46" s="13">
        <v>44376.0</v>
      </c>
      <c r="B46" s="1">
        <v>-0.568</v>
      </c>
      <c r="C46" s="6">
        <f t="shared" si="1"/>
        <v>0</v>
      </c>
    </row>
    <row r="47" hidden="1">
      <c r="A47" s="13">
        <v>44377.0</v>
      </c>
      <c r="B47" s="1">
        <v>-0.581</v>
      </c>
      <c r="C47" s="6">
        <f t="shared" si="1"/>
        <v>1</v>
      </c>
    </row>
    <row r="48" hidden="1">
      <c r="A48" s="13">
        <v>44378.0</v>
      </c>
      <c r="B48" s="1">
        <v>-0.565</v>
      </c>
      <c r="C48" s="6">
        <f t="shared" si="1"/>
        <v>2</v>
      </c>
    </row>
    <row r="49" hidden="1">
      <c r="A49" s="13">
        <v>44379.0</v>
      </c>
      <c r="B49" s="1">
        <v>-0.565</v>
      </c>
      <c r="C49" s="6">
        <f t="shared" si="1"/>
        <v>3</v>
      </c>
    </row>
    <row r="50" hidden="1">
      <c r="A50" s="13">
        <v>44382.0</v>
      </c>
      <c r="B50" s="1">
        <v>-0.566</v>
      </c>
      <c r="C50" s="6">
        <f t="shared" si="1"/>
        <v>4</v>
      </c>
    </row>
    <row r="51">
      <c r="A51" s="13">
        <v>44383.0</v>
      </c>
      <c r="B51" s="1">
        <v>-0.565</v>
      </c>
      <c r="C51" s="6">
        <f t="shared" si="1"/>
        <v>0</v>
      </c>
    </row>
    <row r="52" hidden="1">
      <c r="A52" s="13">
        <v>44384.0</v>
      </c>
      <c r="B52" s="1">
        <v>-0.565</v>
      </c>
      <c r="C52" s="6">
        <f t="shared" si="1"/>
        <v>1</v>
      </c>
    </row>
    <row r="53" hidden="1">
      <c r="A53" s="13">
        <v>44385.0</v>
      </c>
      <c r="B53" s="1">
        <v>-0.566</v>
      </c>
      <c r="C53" s="6">
        <f t="shared" si="1"/>
        <v>2</v>
      </c>
    </row>
    <row r="54" hidden="1">
      <c r="A54" s="13">
        <v>44386.0</v>
      </c>
      <c r="B54" s="1">
        <v>-0.566</v>
      </c>
      <c r="C54" s="6">
        <f t="shared" si="1"/>
        <v>3</v>
      </c>
    </row>
    <row r="55" hidden="1">
      <c r="A55" s="13">
        <v>44389.0</v>
      </c>
      <c r="B55" s="1">
        <v>-0.568</v>
      </c>
      <c r="C55" s="6">
        <f t="shared" si="1"/>
        <v>4</v>
      </c>
    </row>
    <row r="56">
      <c r="A56" s="13">
        <v>44390.0</v>
      </c>
      <c r="B56" s="1">
        <v>-0.566</v>
      </c>
      <c r="C56" s="6">
        <f t="shared" si="1"/>
        <v>0</v>
      </c>
    </row>
    <row r="57" hidden="1">
      <c r="A57" s="13">
        <v>44391.0</v>
      </c>
      <c r="B57" s="1">
        <v>-0.566</v>
      </c>
      <c r="C57" s="6">
        <f t="shared" si="1"/>
        <v>1</v>
      </c>
    </row>
    <row r="58" hidden="1">
      <c r="A58" s="13">
        <v>44392.0</v>
      </c>
      <c r="B58" s="1">
        <v>-0.566</v>
      </c>
      <c r="C58" s="6">
        <f t="shared" si="1"/>
        <v>2</v>
      </c>
    </row>
    <row r="59" hidden="1">
      <c r="A59" s="13">
        <v>44393.0</v>
      </c>
      <c r="B59" s="1">
        <v>-0.567</v>
      </c>
      <c r="C59" s="6">
        <f t="shared" si="1"/>
        <v>3</v>
      </c>
    </row>
    <row r="60" hidden="1">
      <c r="A60" s="13">
        <v>44396.0</v>
      </c>
      <c r="B60" s="1">
        <v>-0.566</v>
      </c>
      <c r="C60" s="6">
        <f t="shared" si="1"/>
        <v>4</v>
      </c>
    </row>
    <row r="61">
      <c r="A61" s="13">
        <v>44397.0</v>
      </c>
      <c r="B61" s="1">
        <v>-0.567</v>
      </c>
      <c r="C61" s="6">
        <f t="shared" si="1"/>
        <v>0</v>
      </c>
    </row>
    <row r="62" hidden="1">
      <c r="A62" s="13">
        <v>44398.0</v>
      </c>
      <c r="B62" s="1">
        <v>-0.568</v>
      </c>
      <c r="C62" s="6">
        <f t="shared" si="1"/>
        <v>1</v>
      </c>
    </row>
    <row r="63" hidden="1">
      <c r="A63" s="13">
        <v>44399.0</v>
      </c>
      <c r="B63" s="1">
        <v>-0.563</v>
      </c>
      <c r="C63" s="6">
        <f t="shared" si="1"/>
        <v>2</v>
      </c>
    </row>
    <row r="64" hidden="1">
      <c r="A64" s="13">
        <v>44400.0</v>
      </c>
      <c r="B64" s="1">
        <v>-0.567</v>
      </c>
      <c r="C64" s="6">
        <f t="shared" si="1"/>
        <v>3</v>
      </c>
    </row>
    <row r="65" hidden="1">
      <c r="A65" s="13">
        <v>44403.0</v>
      </c>
      <c r="B65" s="1">
        <v>-0.567</v>
      </c>
      <c r="C65" s="6">
        <f t="shared" si="1"/>
        <v>4</v>
      </c>
    </row>
    <row r="66">
      <c r="A66" s="13">
        <v>44404.0</v>
      </c>
      <c r="B66" s="1">
        <v>-0.563</v>
      </c>
      <c r="C66" s="6">
        <f t="shared" si="1"/>
        <v>0</v>
      </c>
    </row>
    <row r="67" hidden="1">
      <c r="A67" s="13">
        <v>44405.0</v>
      </c>
      <c r="B67" s="1">
        <v>-0.567</v>
      </c>
      <c r="C67" s="6">
        <f t="shared" si="1"/>
        <v>1</v>
      </c>
    </row>
    <row r="68" hidden="1">
      <c r="A68" s="13">
        <v>44406.0</v>
      </c>
      <c r="B68" s="1">
        <v>-0.567</v>
      </c>
      <c r="C68" s="6">
        <f t="shared" si="1"/>
        <v>2</v>
      </c>
    </row>
    <row r="69" hidden="1">
      <c r="A69" s="13">
        <v>44407.0</v>
      </c>
      <c r="B69" s="1">
        <v>-0.571</v>
      </c>
      <c r="C69" s="6">
        <f t="shared" si="1"/>
        <v>3</v>
      </c>
    </row>
    <row r="70" hidden="1">
      <c r="A70" s="13">
        <v>44410.0</v>
      </c>
      <c r="B70" s="1">
        <v>-0.565</v>
      </c>
      <c r="C70" s="6">
        <f t="shared" si="1"/>
        <v>4</v>
      </c>
    </row>
    <row r="71">
      <c r="A71" s="13">
        <v>44411.0</v>
      </c>
      <c r="B71" s="1">
        <v>-0.57</v>
      </c>
      <c r="C71" s="6">
        <f t="shared" si="1"/>
        <v>0</v>
      </c>
    </row>
    <row r="72" hidden="1">
      <c r="A72" s="13">
        <v>44412.0</v>
      </c>
      <c r="B72" s="1">
        <v>-0.57</v>
      </c>
      <c r="C72" s="6">
        <f t="shared" si="1"/>
        <v>1</v>
      </c>
    </row>
    <row r="73" hidden="1">
      <c r="A73" s="13">
        <v>44413.0</v>
      </c>
      <c r="B73" s="1">
        <v>-0.566</v>
      </c>
      <c r="C73" s="6">
        <f t="shared" si="1"/>
        <v>2</v>
      </c>
    </row>
    <row r="74" hidden="1">
      <c r="A74" s="13">
        <v>44414.0</v>
      </c>
      <c r="B74" s="1">
        <v>-0.569</v>
      </c>
      <c r="C74" s="6">
        <f t="shared" si="1"/>
        <v>3</v>
      </c>
    </row>
    <row r="75" hidden="1">
      <c r="A75" s="13">
        <v>44417.0</v>
      </c>
      <c r="B75" s="1">
        <v>-0.568</v>
      </c>
      <c r="C75" s="6">
        <f t="shared" si="1"/>
        <v>4</v>
      </c>
    </row>
    <row r="76">
      <c r="A76" s="13">
        <v>44418.0</v>
      </c>
      <c r="B76" s="1">
        <v>-0.567</v>
      </c>
      <c r="C76" s="6">
        <f t="shared" si="1"/>
        <v>0</v>
      </c>
    </row>
    <row r="77" hidden="1">
      <c r="A77" s="13">
        <v>44419.0</v>
      </c>
      <c r="B77" s="1">
        <v>-0.567</v>
      </c>
      <c r="C77" s="6">
        <f t="shared" si="1"/>
        <v>1</v>
      </c>
    </row>
    <row r="78" hidden="1">
      <c r="A78" s="13">
        <v>44420.0</v>
      </c>
      <c r="B78" s="1">
        <v>-0.568</v>
      </c>
      <c r="C78" s="6">
        <f t="shared" si="1"/>
        <v>2</v>
      </c>
    </row>
    <row r="79" hidden="1">
      <c r="A79" s="13">
        <v>44421.0</v>
      </c>
      <c r="B79" s="1">
        <v>-0.569</v>
      </c>
      <c r="C79" s="6">
        <f t="shared" si="1"/>
        <v>3</v>
      </c>
    </row>
    <row r="80" hidden="1">
      <c r="A80" s="13">
        <v>44424.0</v>
      </c>
      <c r="B80" s="1">
        <v>-0.569</v>
      </c>
      <c r="C80" s="6">
        <f t="shared" si="1"/>
        <v>4</v>
      </c>
    </row>
    <row r="81">
      <c r="A81" s="13">
        <v>44425.0</v>
      </c>
      <c r="B81" s="1">
        <v>-0.568</v>
      </c>
      <c r="C81" s="6">
        <f t="shared" si="1"/>
        <v>0</v>
      </c>
    </row>
    <row r="82" hidden="1">
      <c r="A82" s="13">
        <v>44426.0</v>
      </c>
      <c r="B82" s="1">
        <v>-0.567</v>
      </c>
      <c r="C82" s="6">
        <f t="shared" si="1"/>
        <v>1</v>
      </c>
    </row>
    <row r="83" hidden="1">
      <c r="A83" s="13">
        <v>44427.0</v>
      </c>
      <c r="B83" s="1">
        <v>-0.567</v>
      </c>
      <c r="C83" s="6">
        <f t="shared" si="1"/>
        <v>2</v>
      </c>
    </row>
    <row r="84" hidden="1">
      <c r="A84" s="13">
        <v>44428.0</v>
      </c>
      <c r="B84" s="1">
        <v>-0.567</v>
      </c>
      <c r="C84" s="6">
        <f t="shared" si="1"/>
        <v>3</v>
      </c>
    </row>
    <row r="85" hidden="1">
      <c r="A85" s="13">
        <v>44431.0</v>
      </c>
      <c r="B85" s="1">
        <v>-0.568</v>
      </c>
      <c r="C85" s="6">
        <f t="shared" si="1"/>
        <v>4</v>
      </c>
    </row>
    <row r="86">
      <c r="A86" s="13">
        <v>44432.0</v>
      </c>
      <c r="B86" s="1">
        <v>-0.567</v>
      </c>
      <c r="C86" s="6">
        <f t="shared" si="1"/>
        <v>0</v>
      </c>
    </row>
    <row r="87" hidden="1">
      <c r="A87" s="13">
        <v>44433.0</v>
      </c>
      <c r="B87" s="1">
        <v>-0.564</v>
      </c>
      <c r="C87" s="6">
        <f t="shared" si="1"/>
        <v>1</v>
      </c>
    </row>
    <row r="88" hidden="1">
      <c r="A88" s="13">
        <v>44434.0</v>
      </c>
      <c r="B88" s="1">
        <v>-0.57</v>
      </c>
      <c r="C88" s="6">
        <f t="shared" si="1"/>
        <v>2</v>
      </c>
    </row>
    <row r="89" hidden="1">
      <c r="A89" s="13">
        <v>44435.0</v>
      </c>
      <c r="B89" s="1">
        <v>-0.57</v>
      </c>
      <c r="C89" s="6">
        <f t="shared" si="1"/>
        <v>3</v>
      </c>
    </row>
    <row r="90" hidden="1">
      <c r="A90" s="13">
        <v>44438.0</v>
      </c>
      <c r="B90" s="1">
        <v>-0.568</v>
      </c>
      <c r="C90" s="6">
        <f t="shared" si="1"/>
        <v>4</v>
      </c>
    </row>
    <row r="91">
      <c r="A91" s="13">
        <v>44439.0</v>
      </c>
      <c r="B91" s="1">
        <v>-0.57</v>
      </c>
      <c r="C91" s="6">
        <f t="shared" si="1"/>
        <v>0</v>
      </c>
    </row>
    <row r="92" hidden="1">
      <c r="A92" s="13">
        <v>44440.0</v>
      </c>
      <c r="B92" s="1">
        <v>-0.569</v>
      </c>
      <c r="C92" s="6">
        <f t="shared" si="1"/>
        <v>1</v>
      </c>
    </row>
    <row r="93" hidden="1">
      <c r="A93" s="13">
        <v>44441.0</v>
      </c>
      <c r="B93" s="1">
        <v>-0.569</v>
      </c>
      <c r="C93" s="6">
        <f t="shared" si="1"/>
        <v>2</v>
      </c>
    </row>
    <row r="94" hidden="1">
      <c r="A94" s="13">
        <v>44442.0</v>
      </c>
      <c r="B94" s="1">
        <v>-0.568</v>
      </c>
      <c r="C94" s="6">
        <f t="shared" si="1"/>
        <v>3</v>
      </c>
    </row>
    <row r="95" hidden="1">
      <c r="A95" s="13">
        <v>44445.0</v>
      </c>
      <c r="B95" s="1">
        <v>-0.569</v>
      </c>
      <c r="C95" s="6">
        <f t="shared" si="1"/>
        <v>4</v>
      </c>
    </row>
    <row r="96">
      <c r="A96" s="13">
        <v>44446.0</v>
      </c>
      <c r="B96" s="1">
        <v>-0.569</v>
      </c>
      <c r="C96" s="6">
        <f t="shared" si="1"/>
        <v>0</v>
      </c>
    </row>
    <row r="97" hidden="1">
      <c r="A97" s="13">
        <v>44447.0</v>
      </c>
      <c r="B97" s="1">
        <v>-0.569</v>
      </c>
      <c r="C97" s="6">
        <f t="shared" si="1"/>
        <v>1</v>
      </c>
    </row>
    <row r="98" hidden="1">
      <c r="A98" s="13">
        <v>44448.0</v>
      </c>
      <c r="B98" s="1">
        <v>-0.57</v>
      </c>
      <c r="C98" s="6">
        <f t="shared" si="1"/>
        <v>2</v>
      </c>
    </row>
    <row r="99" hidden="1">
      <c r="A99" s="13">
        <v>44449.0</v>
      </c>
      <c r="B99" s="1">
        <v>-0.57</v>
      </c>
      <c r="C99" s="6">
        <f t="shared" si="1"/>
        <v>3</v>
      </c>
    </row>
    <row r="100" hidden="1">
      <c r="A100" s="13">
        <v>44452.0</v>
      </c>
      <c r="B100" s="1">
        <v>-0.571</v>
      </c>
      <c r="C100" s="6">
        <f t="shared" si="1"/>
        <v>4</v>
      </c>
    </row>
    <row r="101">
      <c r="A101" s="13">
        <v>44453.0</v>
      </c>
      <c r="B101" s="1">
        <v>-0.568</v>
      </c>
      <c r="C101" s="6">
        <f t="shared" si="1"/>
        <v>0</v>
      </c>
    </row>
    <row r="102" hidden="1">
      <c r="A102" s="13">
        <v>44454.0</v>
      </c>
      <c r="B102" s="1">
        <v>-0.573</v>
      </c>
      <c r="C102" s="6">
        <f t="shared" si="1"/>
        <v>1</v>
      </c>
    </row>
    <row r="103" hidden="1">
      <c r="A103" s="13">
        <v>44455.0</v>
      </c>
      <c r="B103" s="1">
        <v>-0.567</v>
      </c>
      <c r="C103" s="6">
        <f t="shared" si="1"/>
        <v>2</v>
      </c>
    </row>
    <row r="104" hidden="1">
      <c r="A104" s="13">
        <v>44456.0</v>
      </c>
      <c r="B104" s="1">
        <v>-0.571</v>
      </c>
      <c r="C104" s="6">
        <f t="shared" si="1"/>
        <v>3</v>
      </c>
    </row>
    <row r="105" hidden="1">
      <c r="A105" s="13">
        <v>44459.0</v>
      </c>
      <c r="B105" s="1">
        <v>-0.566</v>
      </c>
      <c r="C105" s="6">
        <f t="shared" si="1"/>
        <v>4</v>
      </c>
    </row>
    <row r="106">
      <c r="A106" s="13">
        <v>44460.0</v>
      </c>
      <c r="B106" s="1">
        <v>-0.571</v>
      </c>
      <c r="C106" s="6">
        <f t="shared" si="1"/>
        <v>0</v>
      </c>
    </row>
    <row r="107" hidden="1">
      <c r="A107" s="13">
        <v>44461.0</v>
      </c>
      <c r="B107" s="1">
        <v>-0.566</v>
      </c>
      <c r="C107" s="6">
        <f t="shared" si="1"/>
        <v>1</v>
      </c>
    </row>
    <row r="108" hidden="1">
      <c r="A108" s="13">
        <v>44462.0</v>
      </c>
      <c r="B108" s="1">
        <v>-0.57</v>
      </c>
      <c r="C108" s="6">
        <f t="shared" si="1"/>
        <v>2</v>
      </c>
    </row>
    <row r="109" hidden="1">
      <c r="A109" s="13">
        <v>44463.0</v>
      </c>
      <c r="B109" s="1">
        <v>-0.569</v>
      </c>
      <c r="C109" s="6">
        <f t="shared" si="1"/>
        <v>3</v>
      </c>
    </row>
    <row r="110" hidden="1">
      <c r="A110" s="13">
        <v>44466.0</v>
      </c>
      <c r="B110" s="1">
        <v>-0.571</v>
      </c>
      <c r="C110" s="6">
        <f t="shared" si="1"/>
        <v>4</v>
      </c>
    </row>
    <row r="111">
      <c r="A111" s="13">
        <v>44467.0</v>
      </c>
      <c r="B111" s="1">
        <v>-0.573</v>
      </c>
      <c r="C111" s="6">
        <f t="shared" si="1"/>
        <v>0</v>
      </c>
    </row>
    <row r="112" hidden="1">
      <c r="A112" s="13">
        <v>44468.0</v>
      </c>
      <c r="B112" s="1">
        <v>-0.572</v>
      </c>
      <c r="C112" s="6">
        <f t="shared" si="1"/>
        <v>1</v>
      </c>
    </row>
    <row r="113" hidden="1">
      <c r="A113" s="13">
        <v>44469.0</v>
      </c>
      <c r="B113" s="1">
        <v>-0.58</v>
      </c>
      <c r="C113" s="6">
        <f t="shared" si="1"/>
        <v>2</v>
      </c>
    </row>
    <row r="114" hidden="1">
      <c r="A114" s="13">
        <v>44470.0</v>
      </c>
      <c r="B114" s="1">
        <v>-0.571</v>
      </c>
      <c r="C114" s="6">
        <f t="shared" si="1"/>
        <v>3</v>
      </c>
    </row>
    <row r="115" hidden="1">
      <c r="A115" s="13">
        <v>44473.0</v>
      </c>
      <c r="B115" s="1">
        <v>-0.569</v>
      </c>
      <c r="C115" s="6">
        <f t="shared" si="1"/>
        <v>4</v>
      </c>
    </row>
    <row r="116">
      <c r="A116" s="13">
        <v>44474.0</v>
      </c>
      <c r="B116" s="1">
        <v>-0.569</v>
      </c>
      <c r="C116" s="6">
        <f t="shared" si="1"/>
        <v>0</v>
      </c>
    </row>
    <row r="117" hidden="1">
      <c r="A117" s="13">
        <v>44475.0</v>
      </c>
      <c r="B117" s="1">
        <v>-0.569</v>
      </c>
      <c r="C117" s="6">
        <f t="shared" si="1"/>
        <v>1</v>
      </c>
    </row>
    <row r="118" hidden="1">
      <c r="A118" s="13">
        <v>44476.0</v>
      </c>
      <c r="B118" s="1">
        <v>-0.568</v>
      </c>
      <c r="C118" s="6">
        <f t="shared" si="1"/>
        <v>2</v>
      </c>
    </row>
    <row r="119" hidden="1">
      <c r="A119" s="13">
        <v>44477.0</v>
      </c>
      <c r="B119" s="1">
        <v>-0.568</v>
      </c>
      <c r="C119" s="6">
        <f t="shared" si="1"/>
        <v>3</v>
      </c>
    </row>
    <row r="120" hidden="1">
      <c r="A120" s="13">
        <v>44480.0</v>
      </c>
      <c r="B120" s="1">
        <v>-0.57</v>
      </c>
      <c r="C120" s="6">
        <f t="shared" si="1"/>
        <v>4</v>
      </c>
    </row>
    <row r="121">
      <c r="A121" s="13">
        <v>44481.0</v>
      </c>
      <c r="B121" s="1">
        <v>-0.562</v>
      </c>
      <c r="C121" s="6">
        <f t="shared" si="1"/>
        <v>0</v>
      </c>
    </row>
    <row r="122" hidden="1">
      <c r="A122" s="13">
        <v>44482.0</v>
      </c>
      <c r="B122" s="1">
        <v>-0.569</v>
      </c>
      <c r="C122" s="6">
        <f t="shared" si="1"/>
        <v>1</v>
      </c>
    </row>
    <row r="123" hidden="1">
      <c r="A123" s="13">
        <v>44483.0</v>
      </c>
      <c r="B123" s="1">
        <v>-0.57</v>
      </c>
      <c r="C123" s="6">
        <f t="shared" si="1"/>
        <v>2</v>
      </c>
    </row>
    <row r="124" hidden="1">
      <c r="A124" s="13">
        <v>44484.0</v>
      </c>
      <c r="B124" s="1">
        <v>-0.572</v>
      </c>
      <c r="C124" s="6">
        <f t="shared" si="1"/>
        <v>3</v>
      </c>
    </row>
    <row r="125" hidden="1">
      <c r="A125" s="13">
        <v>44487.0</v>
      </c>
      <c r="B125" s="1">
        <v>-0.574</v>
      </c>
      <c r="C125" s="6">
        <f t="shared" si="1"/>
        <v>4</v>
      </c>
    </row>
    <row r="126">
      <c r="A126" s="13">
        <v>44488.0</v>
      </c>
      <c r="B126" s="1">
        <v>-0.573</v>
      </c>
      <c r="C126" s="6">
        <f t="shared" si="1"/>
        <v>0</v>
      </c>
    </row>
    <row r="127" hidden="1">
      <c r="A127" s="13">
        <v>44489.0</v>
      </c>
      <c r="B127" s="1">
        <v>-0.571</v>
      </c>
      <c r="C127" s="6">
        <f t="shared" si="1"/>
        <v>1</v>
      </c>
    </row>
    <row r="128" hidden="1">
      <c r="A128" s="13">
        <v>44490.0</v>
      </c>
      <c r="B128" s="1">
        <v>-0.573</v>
      </c>
      <c r="C128" s="6">
        <f t="shared" si="1"/>
        <v>2</v>
      </c>
    </row>
    <row r="129" hidden="1">
      <c r="A129" s="13">
        <v>44491.0</v>
      </c>
      <c r="B129" s="1">
        <v>-0.569</v>
      </c>
      <c r="C129" s="6">
        <f t="shared" si="1"/>
        <v>3</v>
      </c>
    </row>
    <row r="130" hidden="1">
      <c r="A130" s="13">
        <v>44494.0</v>
      </c>
      <c r="B130" s="1">
        <v>-0.571</v>
      </c>
      <c r="C130" s="6">
        <f t="shared" si="1"/>
        <v>4</v>
      </c>
    </row>
    <row r="131">
      <c r="A131" s="13">
        <v>44495.0</v>
      </c>
      <c r="B131" s="1">
        <v>-0.57</v>
      </c>
      <c r="C131" s="6">
        <f t="shared" si="1"/>
        <v>0</v>
      </c>
    </row>
    <row r="132" hidden="1">
      <c r="A132" s="13">
        <v>44496.0</v>
      </c>
      <c r="B132" s="1">
        <v>-0.573</v>
      </c>
      <c r="C132" s="6">
        <f t="shared" si="1"/>
        <v>1</v>
      </c>
    </row>
    <row r="133" hidden="1">
      <c r="A133" s="13">
        <v>44497.0</v>
      </c>
      <c r="B133" s="1">
        <v>-0.573</v>
      </c>
      <c r="C133" s="6">
        <f t="shared" si="1"/>
        <v>2</v>
      </c>
    </row>
    <row r="134" hidden="1">
      <c r="A134" s="13">
        <v>44498.0</v>
      </c>
      <c r="B134" s="1">
        <v>-0.578</v>
      </c>
      <c r="C134" s="6">
        <f t="shared" si="1"/>
        <v>3</v>
      </c>
    </row>
    <row r="135" hidden="1">
      <c r="A135" s="13">
        <v>44501.0</v>
      </c>
      <c r="B135" s="1">
        <v>-0.579</v>
      </c>
      <c r="C135" s="6">
        <f t="shared" si="1"/>
        <v>4</v>
      </c>
    </row>
    <row r="136">
      <c r="A136" s="13">
        <v>44502.0</v>
      </c>
      <c r="B136" s="1">
        <v>-0.569</v>
      </c>
      <c r="C136" s="6">
        <f t="shared" si="1"/>
        <v>0</v>
      </c>
    </row>
    <row r="137" hidden="1">
      <c r="A137" s="13">
        <v>44503.0</v>
      </c>
      <c r="B137" s="1">
        <v>-0.574</v>
      </c>
      <c r="C137" s="6">
        <f t="shared" si="1"/>
        <v>1</v>
      </c>
    </row>
    <row r="138" hidden="1">
      <c r="A138" s="13">
        <v>44504.0</v>
      </c>
      <c r="B138" s="1">
        <v>-0.573</v>
      </c>
      <c r="C138" s="6">
        <f t="shared" si="1"/>
        <v>2</v>
      </c>
    </row>
    <row r="139" hidden="1">
      <c r="A139" s="13">
        <v>44505.0</v>
      </c>
      <c r="B139" s="1">
        <v>-0.572</v>
      </c>
      <c r="C139" s="6">
        <f t="shared" si="1"/>
        <v>3</v>
      </c>
    </row>
    <row r="140" hidden="1">
      <c r="A140" s="13">
        <v>44508.0</v>
      </c>
      <c r="B140" s="1">
        <v>-0.575</v>
      </c>
      <c r="C140" s="6">
        <f t="shared" si="1"/>
        <v>4</v>
      </c>
    </row>
    <row r="141">
      <c r="A141" s="13">
        <v>44509.0</v>
      </c>
      <c r="B141" s="1">
        <v>-0.575</v>
      </c>
      <c r="C141" s="6">
        <f t="shared" si="1"/>
        <v>0</v>
      </c>
    </row>
    <row r="142" hidden="1">
      <c r="A142" s="13">
        <v>44510.0</v>
      </c>
      <c r="B142" s="1">
        <v>-0.576</v>
      </c>
      <c r="C142" s="6">
        <f t="shared" si="1"/>
        <v>1</v>
      </c>
    </row>
    <row r="143" hidden="1">
      <c r="A143" s="13">
        <v>44511.0</v>
      </c>
      <c r="B143" s="1">
        <v>-0.575</v>
      </c>
      <c r="C143" s="6">
        <f t="shared" si="1"/>
        <v>2</v>
      </c>
    </row>
    <row r="144" hidden="1">
      <c r="A144" s="13">
        <v>44512.0</v>
      </c>
      <c r="B144" s="1">
        <v>-0.572</v>
      </c>
      <c r="C144" s="6">
        <f t="shared" si="1"/>
        <v>3</v>
      </c>
    </row>
    <row r="145" hidden="1">
      <c r="A145" s="13">
        <v>44515.0</v>
      </c>
      <c r="B145" s="1">
        <v>-0.569</v>
      </c>
      <c r="C145" s="6">
        <f t="shared" si="1"/>
        <v>4</v>
      </c>
    </row>
    <row r="146">
      <c r="A146" s="13">
        <v>44516.0</v>
      </c>
      <c r="B146" s="1">
        <v>-0.571</v>
      </c>
      <c r="C146" s="6">
        <f t="shared" si="1"/>
        <v>0</v>
      </c>
    </row>
    <row r="147" hidden="1">
      <c r="A147" s="13">
        <v>44517.0</v>
      </c>
      <c r="B147" s="1">
        <v>-0.571</v>
      </c>
      <c r="C147" s="6">
        <f t="shared" si="1"/>
        <v>1</v>
      </c>
    </row>
    <row r="148" hidden="1">
      <c r="A148" s="13">
        <v>44518.0</v>
      </c>
      <c r="B148" s="1">
        <v>-0.571</v>
      </c>
      <c r="C148" s="6">
        <f t="shared" si="1"/>
        <v>2</v>
      </c>
    </row>
    <row r="149" hidden="1">
      <c r="A149" s="13">
        <v>44519.0</v>
      </c>
      <c r="B149" s="1">
        <v>-0.573</v>
      </c>
      <c r="C149" s="6">
        <f t="shared" si="1"/>
        <v>3</v>
      </c>
    </row>
    <row r="150" hidden="1">
      <c r="A150" s="13">
        <v>44522.0</v>
      </c>
      <c r="B150" s="1">
        <v>-0.573</v>
      </c>
      <c r="C150" s="6">
        <f t="shared" si="1"/>
        <v>4</v>
      </c>
    </row>
    <row r="151">
      <c r="A151" s="13">
        <v>44523.0</v>
      </c>
      <c r="B151" s="1">
        <v>-0.574</v>
      </c>
      <c r="C151" s="6">
        <f t="shared" si="1"/>
        <v>0</v>
      </c>
    </row>
    <row r="152" hidden="1">
      <c r="A152" s="13">
        <v>44524.0</v>
      </c>
      <c r="B152" s="1">
        <v>-0.57</v>
      </c>
      <c r="C152" s="6">
        <f t="shared" si="1"/>
        <v>1</v>
      </c>
    </row>
    <row r="153" hidden="1">
      <c r="A153" s="13">
        <v>44525.0</v>
      </c>
      <c r="B153" s="1">
        <v>-0.573</v>
      </c>
      <c r="C153" s="6">
        <f t="shared" si="1"/>
        <v>2</v>
      </c>
    </row>
    <row r="154" hidden="1">
      <c r="A154" s="13">
        <v>44526.0</v>
      </c>
      <c r="B154" s="1">
        <v>-0.573</v>
      </c>
      <c r="C154" s="6">
        <f t="shared" si="1"/>
        <v>3</v>
      </c>
    </row>
    <row r="155" hidden="1">
      <c r="A155" s="13">
        <v>44529.0</v>
      </c>
      <c r="B155" s="1">
        <v>-0.573</v>
      </c>
      <c r="C155" s="6">
        <f t="shared" si="1"/>
        <v>4</v>
      </c>
    </row>
    <row r="156">
      <c r="A156" s="13">
        <v>44530.0</v>
      </c>
      <c r="B156" s="1">
        <v>-0.575</v>
      </c>
      <c r="C156" s="6">
        <f t="shared" si="1"/>
        <v>0</v>
      </c>
    </row>
    <row r="157" hidden="1">
      <c r="A157" s="13">
        <v>44531.0</v>
      </c>
      <c r="B157" s="1">
        <v>-0.574</v>
      </c>
      <c r="C157" s="6">
        <f t="shared" si="1"/>
        <v>1</v>
      </c>
    </row>
    <row r="158" hidden="1">
      <c r="A158" s="13">
        <v>44532.0</v>
      </c>
      <c r="B158" s="1">
        <v>-0.575</v>
      </c>
      <c r="C158" s="6">
        <f t="shared" si="1"/>
        <v>2</v>
      </c>
    </row>
    <row r="159" hidden="1">
      <c r="A159" s="13">
        <v>44533.0</v>
      </c>
      <c r="B159" s="1">
        <v>-0.578</v>
      </c>
      <c r="C159" s="6">
        <f t="shared" si="1"/>
        <v>3</v>
      </c>
    </row>
    <row r="160" hidden="1">
      <c r="A160" s="13">
        <v>44536.0</v>
      </c>
      <c r="B160" s="1">
        <v>-0.578</v>
      </c>
      <c r="C160" s="6">
        <f t="shared" si="1"/>
        <v>4</v>
      </c>
    </row>
    <row r="161">
      <c r="A161" s="13">
        <v>44537.0</v>
      </c>
      <c r="B161" s="1">
        <v>-0.577</v>
      </c>
      <c r="C161" s="6">
        <f t="shared" si="1"/>
        <v>0</v>
      </c>
    </row>
    <row r="162" hidden="1">
      <c r="A162" s="13">
        <v>44538.0</v>
      </c>
      <c r="B162" s="1">
        <v>-0.577</v>
      </c>
      <c r="C162" s="6">
        <f t="shared" si="1"/>
        <v>1</v>
      </c>
    </row>
    <row r="163" hidden="1">
      <c r="A163" s="13">
        <v>44539.0</v>
      </c>
      <c r="B163" s="1">
        <v>-0.578</v>
      </c>
      <c r="C163" s="6">
        <f t="shared" si="1"/>
        <v>2</v>
      </c>
    </row>
    <row r="164" hidden="1">
      <c r="A164" s="13">
        <v>44540.0</v>
      </c>
      <c r="B164" s="1">
        <v>-0.577</v>
      </c>
      <c r="C164" s="6">
        <f t="shared" si="1"/>
        <v>3</v>
      </c>
    </row>
    <row r="165" hidden="1">
      <c r="A165" s="13">
        <v>44543.0</v>
      </c>
      <c r="B165" s="1">
        <v>-0.579</v>
      </c>
      <c r="C165" s="6">
        <f t="shared" si="1"/>
        <v>4</v>
      </c>
    </row>
    <row r="166">
      <c r="A166" s="13">
        <v>44544.0</v>
      </c>
      <c r="B166" s="1">
        <v>-0.577</v>
      </c>
      <c r="C166" s="6">
        <f t="shared" si="1"/>
        <v>0</v>
      </c>
    </row>
    <row r="167" hidden="1">
      <c r="A167" s="13">
        <v>44545.0</v>
      </c>
      <c r="B167" s="1">
        <v>-0.577</v>
      </c>
      <c r="C167" s="6">
        <f t="shared" si="1"/>
        <v>1</v>
      </c>
    </row>
    <row r="168" hidden="1">
      <c r="A168" s="13">
        <v>44546.0</v>
      </c>
      <c r="B168" s="1">
        <v>-0.577</v>
      </c>
      <c r="C168" s="6">
        <f t="shared" si="1"/>
        <v>2</v>
      </c>
    </row>
    <row r="169" hidden="1">
      <c r="A169" s="13">
        <v>44547.0</v>
      </c>
      <c r="B169" s="1">
        <v>-0.576</v>
      </c>
      <c r="C169" s="6">
        <f t="shared" si="1"/>
        <v>3</v>
      </c>
    </row>
    <row r="170" hidden="1">
      <c r="A170" s="13">
        <v>44550.0</v>
      </c>
      <c r="B170" s="1">
        <v>-0.576</v>
      </c>
      <c r="C170" s="6">
        <f t="shared" si="1"/>
        <v>4</v>
      </c>
    </row>
    <row r="171">
      <c r="A171" s="13">
        <v>44551.0</v>
      </c>
      <c r="B171" s="1">
        <v>-0.571</v>
      </c>
      <c r="C171" s="6">
        <f t="shared" si="1"/>
        <v>0</v>
      </c>
    </row>
    <row r="172" hidden="1">
      <c r="A172" s="13">
        <v>44552.0</v>
      </c>
      <c r="B172" s="1">
        <v>-0.574</v>
      </c>
      <c r="C172" s="6">
        <f t="shared" si="1"/>
        <v>1</v>
      </c>
    </row>
    <row r="173" hidden="1">
      <c r="A173" s="13">
        <v>44553.0</v>
      </c>
      <c r="B173" s="1">
        <v>-0.576</v>
      </c>
      <c r="C173" s="6">
        <f t="shared" si="1"/>
        <v>2</v>
      </c>
    </row>
    <row r="174" hidden="1">
      <c r="A174" s="13">
        <v>44554.0</v>
      </c>
      <c r="B174" s="1">
        <v>-0.58</v>
      </c>
      <c r="C174" s="6">
        <f t="shared" si="1"/>
        <v>3</v>
      </c>
    </row>
    <row r="175" hidden="1">
      <c r="A175" s="13">
        <v>44557.0</v>
      </c>
      <c r="B175" s="1">
        <v>-0.576</v>
      </c>
      <c r="C175" s="6">
        <f t="shared" si="1"/>
        <v>4</v>
      </c>
    </row>
    <row r="176">
      <c r="A176" s="13">
        <v>44558.0</v>
      </c>
      <c r="B176" s="1">
        <v>-0.575</v>
      </c>
      <c r="C176" s="6">
        <f t="shared" si="1"/>
        <v>0</v>
      </c>
    </row>
    <row r="177" hidden="1">
      <c r="A177" s="13">
        <v>44559.0</v>
      </c>
      <c r="B177" s="1">
        <v>-0.578</v>
      </c>
      <c r="C177" s="6">
        <f t="shared" si="1"/>
        <v>1</v>
      </c>
    </row>
    <row r="178" hidden="1">
      <c r="A178" s="13">
        <v>44560.0</v>
      </c>
      <c r="B178" s="1">
        <v>-0.58</v>
      </c>
      <c r="C178" s="6">
        <f t="shared" si="1"/>
        <v>2</v>
      </c>
    </row>
    <row r="179" hidden="1">
      <c r="A179" s="13">
        <v>44561.0</v>
      </c>
      <c r="B179" s="1">
        <v>-0.59</v>
      </c>
      <c r="C179" s="6">
        <f t="shared" si="1"/>
        <v>3</v>
      </c>
    </row>
    <row r="180" hidden="1">
      <c r="A180" s="13">
        <v>44564.0</v>
      </c>
      <c r="B180" s="1">
        <v>-0.578</v>
      </c>
      <c r="C180" s="6">
        <f t="shared" si="1"/>
        <v>4</v>
      </c>
    </row>
    <row r="181">
      <c r="A181" s="13">
        <v>44565.0</v>
      </c>
      <c r="B181" s="1">
        <v>-0.578</v>
      </c>
      <c r="C181" s="6">
        <f t="shared" si="1"/>
        <v>0</v>
      </c>
    </row>
    <row r="182" hidden="1">
      <c r="A182" s="13">
        <v>44566.0</v>
      </c>
      <c r="B182" s="1">
        <v>-0.578</v>
      </c>
      <c r="C182" s="6">
        <f t="shared" si="1"/>
        <v>1</v>
      </c>
    </row>
    <row r="183" hidden="1">
      <c r="A183" s="13">
        <v>44567.0</v>
      </c>
      <c r="B183" s="1">
        <v>-0.578</v>
      </c>
      <c r="C183" s="6">
        <f t="shared" si="1"/>
        <v>2</v>
      </c>
    </row>
    <row r="184" hidden="1">
      <c r="A184" s="13">
        <v>44568.0</v>
      </c>
      <c r="B184" s="1">
        <v>-0.58</v>
      </c>
      <c r="C184" s="6">
        <f t="shared" si="1"/>
        <v>3</v>
      </c>
    </row>
    <row r="185" hidden="1">
      <c r="A185" s="13">
        <v>44571.0</v>
      </c>
      <c r="B185" s="1">
        <v>-0.579</v>
      </c>
      <c r="C185" s="6">
        <f t="shared" si="1"/>
        <v>4</v>
      </c>
    </row>
    <row r="186">
      <c r="A186" s="13">
        <v>44572.0</v>
      </c>
      <c r="B186" s="1">
        <v>-0.579</v>
      </c>
      <c r="C186" s="6">
        <f t="shared" si="1"/>
        <v>0</v>
      </c>
    </row>
    <row r="187" hidden="1">
      <c r="A187" s="13">
        <v>44573.0</v>
      </c>
      <c r="B187" s="1">
        <v>-0.578</v>
      </c>
      <c r="C187" s="6">
        <f t="shared" si="1"/>
        <v>1</v>
      </c>
    </row>
    <row r="188" hidden="1">
      <c r="A188" s="13">
        <v>44574.0</v>
      </c>
      <c r="B188" s="1">
        <v>-0.578</v>
      </c>
      <c r="C188" s="6">
        <f t="shared" si="1"/>
        <v>2</v>
      </c>
    </row>
    <row r="189" hidden="1">
      <c r="A189" s="13">
        <v>44575.0</v>
      </c>
      <c r="B189" s="1">
        <v>-0.578</v>
      </c>
      <c r="C189" s="6">
        <f t="shared" si="1"/>
        <v>3</v>
      </c>
    </row>
    <row r="190" hidden="1">
      <c r="A190" s="13">
        <v>44578.0</v>
      </c>
      <c r="B190" s="1">
        <v>-0.578</v>
      </c>
      <c r="C190" s="6">
        <f t="shared" si="1"/>
        <v>4</v>
      </c>
    </row>
    <row r="191">
      <c r="A191" s="13">
        <v>44579.0</v>
      </c>
      <c r="B191" s="1">
        <v>-0.579</v>
      </c>
      <c r="C191" s="6">
        <f t="shared" si="1"/>
        <v>0</v>
      </c>
    </row>
    <row r="192" hidden="1">
      <c r="A192" s="13">
        <v>44580.0</v>
      </c>
      <c r="B192" s="1">
        <v>-0.578</v>
      </c>
      <c r="C192" s="6">
        <f t="shared" si="1"/>
        <v>1</v>
      </c>
    </row>
    <row r="193" hidden="1">
      <c r="A193" s="13">
        <v>44581.0</v>
      </c>
      <c r="B193" s="1">
        <v>-0.579</v>
      </c>
      <c r="C193" s="6">
        <f t="shared" si="1"/>
        <v>2</v>
      </c>
    </row>
    <row r="194" hidden="1">
      <c r="A194" s="13">
        <v>44582.0</v>
      </c>
      <c r="B194" s="1">
        <v>-0.579</v>
      </c>
      <c r="C194" s="6">
        <f t="shared" si="1"/>
        <v>3</v>
      </c>
    </row>
    <row r="195" hidden="1">
      <c r="A195" s="13">
        <v>44585.0</v>
      </c>
      <c r="B195" s="1">
        <v>-0.579</v>
      </c>
      <c r="C195" s="6">
        <f t="shared" si="1"/>
        <v>4</v>
      </c>
    </row>
    <row r="196">
      <c r="A196" s="13">
        <v>44586.0</v>
      </c>
      <c r="B196" s="1">
        <v>-0.578</v>
      </c>
      <c r="C196" s="6">
        <f t="shared" si="1"/>
        <v>0</v>
      </c>
    </row>
    <row r="197" hidden="1">
      <c r="A197" s="13">
        <v>44587.0</v>
      </c>
      <c r="B197" s="1">
        <v>-0.576</v>
      </c>
      <c r="C197" s="6">
        <f t="shared" si="1"/>
        <v>1</v>
      </c>
    </row>
    <row r="198" hidden="1">
      <c r="A198" s="13">
        <v>44588.0</v>
      </c>
      <c r="B198" s="1">
        <v>-0.573</v>
      </c>
      <c r="C198" s="6">
        <f t="shared" si="1"/>
        <v>2</v>
      </c>
    </row>
    <row r="199" hidden="1">
      <c r="A199" s="13">
        <v>44589.0</v>
      </c>
      <c r="B199" s="1">
        <v>-0.573</v>
      </c>
      <c r="C199" s="6">
        <f t="shared" si="1"/>
        <v>3</v>
      </c>
    </row>
    <row r="200" hidden="1">
      <c r="A200" s="13">
        <v>44592.0</v>
      </c>
      <c r="B200" s="1">
        <v>-0.579</v>
      </c>
      <c r="C200" s="6">
        <f t="shared" si="1"/>
        <v>4</v>
      </c>
    </row>
    <row r="201">
      <c r="A201" s="13">
        <v>44593.0</v>
      </c>
      <c r="B201" s="1">
        <v>-0.578</v>
      </c>
      <c r="C201" s="6">
        <f t="shared" si="1"/>
        <v>0</v>
      </c>
    </row>
    <row r="202" hidden="1">
      <c r="A202" s="13">
        <v>44594.0</v>
      </c>
      <c r="B202" s="1">
        <v>-0.578</v>
      </c>
      <c r="C202" s="6">
        <f t="shared" si="1"/>
        <v>1</v>
      </c>
    </row>
    <row r="203" hidden="1">
      <c r="A203" s="13">
        <v>44595.0</v>
      </c>
      <c r="B203" s="1">
        <v>-0.577</v>
      </c>
      <c r="C203" s="6">
        <f t="shared" si="1"/>
        <v>2</v>
      </c>
    </row>
    <row r="204" hidden="1">
      <c r="A204" s="13">
        <v>44596.0</v>
      </c>
      <c r="B204" s="1">
        <v>-0.578</v>
      </c>
      <c r="C204" s="6">
        <f t="shared" si="1"/>
        <v>3</v>
      </c>
    </row>
    <row r="205" hidden="1">
      <c r="A205" s="13">
        <v>44599.0</v>
      </c>
      <c r="B205" s="1">
        <v>-0.578</v>
      </c>
      <c r="C205" s="6">
        <f t="shared" si="1"/>
        <v>4</v>
      </c>
    </row>
    <row r="206">
      <c r="A206" s="13">
        <v>44600.0</v>
      </c>
      <c r="B206" s="1">
        <v>-0.574</v>
      </c>
      <c r="C206" s="6">
        <f t="shared" si="1"/>
        <v>0</v>
      </c>
    </row>
    <row r="207" hidden="1">
      <c r="A207" s="13">
        <v>44601.0</v>
      </c>
      <c r="B207" s="1">
        <v>-0.578</v>
      </c>
      <c r="C207" s="6">
        <f t="shared" si="1"/>
        <v>1</v>
      </c>
    </row>
    <row r="208" hidden="1">
      <c r="A208" s="13">
        <v>44602.0</v>
      </c>
      <c r="B208" s="1">
        <v>-0.572</v>
      </c>
      <c r="C208" s="6">
        <f t="shared" si="1"/>
        <v>2</v>
      </c>
    </row>
    <row r="209" hidden="1">
      <c r="A209" s="13">
        <v>44603.0</v>
      </c>
      <c r="B209" s="1">
        <v>-0.578</v>
      </c>
      <c r="C209" s="6">
        <f t="shared" si="1"/>
        <v>3</v>
      </c>
    </row>
    <row r="210" hidden="1">
      <c r="A210" s="13">
        <v>44606.0</v>
      </c>
      <c r="B210" s="1">
        <v>-0.578</v>
      </c>
      <c r="C210" s="6">
        <f t="shared" si="1"/>
        <v>4</v>
      </c>
    </row>
    <row r="211">
      <c r="A211" s="13">
        <v>44607.0</v>
      </c>
      <c r="B211" s="1">
        <v>-0.576</v>
      </c>
      <c r="C211" s="6">
        <f t="shared" si="1"/>
        <v>0</v>
      </c>
    </row>
    <row r="212" hidden="1">
      <c r="A212" s="13">
        <v>44608.0</v>
      </c>
      <c r="B212" s="1">
        <v>-0.576</v>
      </c>
      <c r="C212" s="6">
        <f t="shared" si="1"/>
        <v>1</v>
      </c>
    </row>
    <row r="213" hidden="1">
      <c r="A213" s="13">
        <v>44609.0</v>
      </c>
      <c r="B213" s="1">
        <v>-0.576</v>
      </c>
      <c r="C213" s="6">
        <f t="shared" si="1"/>
        <v>2</v>
      </c>
    </row>
    <row r="214" hidden="1">
      <c r="A214" s="13">
        <v>44610.0</v>
      </c>
      <c r="B214" s="1">
        <v>-0.576</v>
      </c>
      <c r="C214" s="6">
        <f t="shared" si="1"/>
        <v>3</v>
      </c>
    </row>
    <row r="215" hidden="1">
      <c r="A215" s="13">
        <v>44613.0</v>
      </c>
      <c r="B215" s="1">
        <v>-0.576</v>
      </c>
      <c r="C215" s="6">
        <f t="shared" si="1"/>
        <v>4</v>
      </c>
    </row>
    <row r="216">
      <c r="A216" s="13">
        <v>44614.0</v>
      </c>
      <c r="B216" s="1">
        <v>-0.575</v>
      </c>
      <c r="C216" s="6">
        <f t="shared" si="1"/>
        <v>0</v>
      </c>
    </row>
    <row r="217" hidden="1">
      <c r="A217" s="13">
        <v>44615.0</v>
      </c>
      <c r="B217" s="1">
        <v>-0.576</v>
      </c>
      <c r="C217" s="6">
        <f t="shared" si="1"/>
        <v>1</v>
      </c>
    </row>
    <row r="218" hidden="1">
      <c r="A218" s="13">
        <v>44616.0</v>
      </c>
      <c r="B218" s="1">
        <v>-0.576</v>
      </c>
      <c r="C218" s="6">
        <f t="shared" si="1"/>
        <v>2</v>
      </c>
    </row>
    <row r="219" hidden="1">
      <c r="A219" s="13">
        <v>44617.0</v>
      </c>
      <c r="B219" s="1">
        <v>-0.575</v>
      </c>
      <c r="C219" s="6">
        <f t="shared" si="1"/>
        <v>3</v>
      </c>
    </row>
    <row r="220" hidden="1">
      <c r="A220" s="13">
        <v>44620.0</v>
      </c>
      <c r="B220" s="1">
        <v>-0.58</v>
      </c>
      <c r="C220" s="6">
        <f t="shared" si="1"/>
        <v>4</v>
      </c>
    </row>
    <row r="221">
      <c r="A221" s="13">
        <v>44621.0</v>
      </c>
      <c r="B221" s="1">
        <v>-0.577</v>
      </c>
      <c r="C221" s="6">
        <f t="shared" si="1"/>
        <v>0</v>
      </c>
    </row>
    <row r="222" hidden="1">
      <c r="A222" s="13">
        <v>44622.0</v>
      </c>
      <c r="B222" s="1">
        <v>-0.578</v>
      </c>
      <c r="C222" s="6">
        <f t="shared" si="1"/>
        <v>1</v>
      </c>
    </row>
    <row r="223" hidden="1">
      <c r="A223" s="13">
        <v>44623.0</v>
      </c>
      <c r="B223" s="1">
        <v>-0.579</v>
      </c>
      <c r="C223" s="6">
        <f t="shared" si="1"/>
        <v>2</v>
      </c>
    </row>
    <row r="224" hidden="1">
      <c r="A224" s="13">
        <v>44624.0</v>
      </c>
      <c r="B224" s="1">
        <v>-0.577</v>
      </c>
      <c r="C224" s="6">
        <f t="shared" si="1"/>
        <v>3</v>
      </c>
    </row>
    <row r="225" hidden="1">
      <c r="A225" s="13">
        <v>44627.0</v>
      </c>
      <c r="B225" s="1">
        <v>-0.579</v>
      </c>
      <c r="C225" s="6">
        <f t="shared" si="1"/>
        <v>4</v>
      </c>
    </row>
    <row r="226">
      <c r="A226" s="13">
        <v>44628.0</v>
      </c>
      <c r="B226" s="1">
        <v>-0.579</v>
      </c>
      <c r="C226" s="6">
        <f t="shared" si="1"/>
        <v>0</v>
      </c>
    </row>
    <row r="227" hidden="1">
      <c r="A227" s="13">
        <v>44629.0</v>
      </c>
      <c r="B227" s="1">
        <v>-0.58</v>
      </c>
      <c r="C227" s="6">
        <f t="shared" si="1"/>
        <v>1</v>
      </c>
    </row>
    <row r="228" hidden="1">
      <c r="A228" s="13">
        <v>44630.0</v>
      </c>
      <c r="B228" s="1">
        <v>-0.576</v>
      </c>
      <c r="C228" s="6">
        <f t="shared" si="1"/>
        <v>2</v>
      </c>
    </row>
    <row r="229" hidden="1">
      <c r="A229" s="13">
        <v>44631.0</v>
      </c>
      <c r="B229" s="1">
        <v>-0.577</v>
      </c>
      <c r="C229" s="6">
        <f t="shared" si="1"/>
        <v>3</v>
      </c>
    </row>
    <row r="230" hidden="1">
      <c r="A230" s="13">
        <v>44634.0</v>
      </c>
      <c r="B230" s="1">
        <v>-0.577</v>
      </c>
      <c r="C230" s="6">
        <f t="shared" si="1"/>
        <v>4</v>
      </c>
    </row>
    <row r="231">
      <c r="A231" s="13">
        <v>44635.0</v>
      </c>
      <c r="B231" s="1">
        <v>-0.573</v>
      </c>
      <c r="C231" s="6">
        <f t="shared" si="1"/>
        <v>0</v>
      </c>
    </row>
    <row r="232" hidden="1">
      <c r="A232" s="13">
        <v>44636.0</v>
      </c>
      <c r="B232" s="1">
        <v>-0.577</v>
      </c>
      <c r="C232" s="6">
        <f t="shared" si="1"/>
        <v>1</v>
      </c>
    </row>
    <row r="233" hidden="1">
      <c r="A233" s="13">
        <v>44637.0</v>
      </c>
      <c r="B233" s="1">
        <v>-0.578</v>
      </c>
      <c r="C233" s="6">
        <f t="shared" si="1"/>
        <v>2</v>
      </c>
    </row>
    <row r="234" hidden="1">
      <c r="A234" s="13">
        <v>44638.0</v>
      </c>
      <c r="B234" s="1">
        <v>-0.578</v>
      </c>
      <c r="C234" s="6">
        <f t="shared" si="1"/>
        <v>3</v>
      </c>
    </row>
    <row r="235" hidden="1">
      <c r="A235" s="13">
        <v>44641.0</v>
      </c>
      <c r="B235" s="1">
        <v>-0.578</v>
      </c>
      <c r="C235" s="6">
        <f t="shared" si="1"/>
        <v>4</v>
      </c>
    </row>
    <row r="236">
      <c r="A236" s="13">
        <v>44642.0</v>
      </c>
      <c r="B236" s="1">
        <v>-0.578</v>
      </c>
      <c r="C236" s="6">
        <f t="shared" si="1"/>
        <v>0</v>
      </c>
    </row>
    <row r="237" hidden="1">
      <c r="A237" s="13">
        <v>44643.0</v>
      </c>
      <c r="B237" s="1">
        <v>-0.578</v>
      </c>
      <c r="C237" s="6">
        <f t="shared" si="1"/>
        <v>1</v>
      </c>
    </row>
    <row r="238" hidden="1">
      <c r="A238" s="13">
        <v>44644.0</v>
      </c>
      <c r="B238" s="1">
        <v>-0.579</v>
      </c>
      <c r="C238" s="6">
        <f t="shared" si="1"/>
        <v>2</v>
      </c>
    </row>
    <row r="239" hidden="1">
      <c r="A239" s="13">
        <v>44645.0</v>
      </c>
      <c r="B239" s="1">
        <v>-0.581</v>
      </c>
      <c r="C239" s="6">
        <f t="shared" si="1"/>
        <v>3</v>
      </c>
    </row>
    <row r="240" hidden="1">
      <c r="A240" s="13">
        <v>44648.0</v>
      </c>
      <c r="B240" s="1">
        <v>-0.58</v>
      </c>
      <c r="C240" s="6">
        <f t="shared" si="1"/>
        <v>4</v>
      </c>
    </row>
    <row r="241">
      <c r="A241" s="13">
        <v>44649.0</v>
      </c>
      <c r="B241" s="1">
        <v>-0.579</v>
      </c>
      <c r="C241" s="6">
        <f t="shared" si="1"/>
        <v>0</v>
      </c>
    </row>
    <row r="242" hidden="1">
      <c r="A242" s="13">
        <v>44650.0</v>
      </c>
      <c r="B242" s="1">
        <v>-0.579</v>
      </c>
      <c r="C242" s="6">
        <f t="shared" si="1"/>
        <v>1</v>
      </c>
    </row>
    <row r="243" hidden="1">
      <c r="A243" s="13">
        <v>44651.0</v>
      </c>
      <c r="B243" s="1">
        <v>-0.593</v>
      </c>
      <c r="C243" s="6">
        <f t="shared" si="1"/>
        <v>2</v>
      </c>
    </row>
    <row r="244" hidden="1">
      <c r="A244" s="13">
        <v>44652.0</v>
      </c>
      <c r="B244" s="1">
        <v>-0.582</v>
      </c>
      <c r="C244" s="6">
        <f t="shared" si="1"/>
        <v>3</v>
      </c>
    </row>
    <row r="245" hidden="1">
      <c r="A245" s="13">
        <v>44655.0</v>
      </c>
      <c r="B245" s="1">
        <v>-0.585</v>
      </c>
      <c r="C245" s="6">
        <f t="shared" si="1"/>
        <v>4</v>
      </c>
    </row>
    <row r="246">
      <c r="A246" s="13">
        <v>44656.0</v>
      </c>
      <c r="B246" s="1">
        <v>-0.586</v>
      </c>
      <c r="C246" s="6">
        <f t="shared" si="1"/>
        <v>0</v>
      </c>
    </row>
    <row r="247" hidden="1">
      <c r="A247" s="13">
        <v>44657.0</v>
      </c>
      <c r="B247" s="1">
        <v>-0.584</v>
      </c>
      <c r="C247" s="6">
        <f t="shared" si="1"/>
        <v>1</v>
      </c>
    </row>
    <row r="248" hidden="1">
      <c r="A248" s="13">
        <v>44658.0</v>
      </c>
      <c r="B248" s="1">
        <v>-0.582</v>
      </c>
      <c r="C248" s="6">
        <f t="shared" si="1"/>
        <v>2</v>
      </c>
    </row>
    <row r="249" hidden="1">
      <c r="A249" s="13">
        <v>44659.0</v>
      </c>
      <c r="B249" s="1">
        <v>-0.583</v>
      </c>
      <c r="C249" s="6">
        <f t="shared" si="1"/>
        <v>3</v>
      </c>
    </row>
    <row r="250" hidden="1">
      <c r="A250" s="13">
        <v>44662.0</v>
      </c>
      <c r="B250" s="1">
        <v>-0.584</v>
      </c>
      <c r="C250" s="6">
        <f t="shared" si="1"/>
        <v>4</v>
      </c>
    </row>
    <row r="251">
      <c r="A251" s="13">
        <v>44663.0</v>
      </c>
      <c r="B251" s="1">
        <v>-0.583</v>
      </c>
      <c r="C251" s="6">
        <f t="shared" si="1"/>
        <v>0</v>
      </c>
    </row>
    <row r="252" hidden="1">
      <c r="A252" s="13">
        <v>44664.0</v>
      </c>
      <c r="B252" s="1">
        <v>-0.585</v>
      </c>
      <c r="C252" s="6">
        <f t="shared" si="1"/>
        <v>1</v>
      </c>
    </row>
    <row r="253" hidden="1">
      <c r="A253" s="13">
        <v>44665.0</v>
      </c>
      <c r="B253" s="1">
        <v>-0.586</v>
      </c>
      <c r="C253" s="6">
        <f t="shared" si="1"/>
        <v>2</v>
      </c>
    </row>
    <row r="254" hidden="1">
      <c r="A254" s="13">
        <v>44670.0</v>
      </c>
      <c r="B254" s="1">
        <v>-0.58</v>
      </c>
      <c r="C254" s="6">
        <f t="shared" si="1"/>
        <v>3</v>
      </c>
    </row>
    <row r="255" hidden="1">
      <c r="A255" s="13">
        <v>44671.0</v>
      </c>
      <c r="B255" s="1">
        <v>-0.583</v>
      </c>
      <c r="C255" s="6">
        <f t="shared" si="1"/>
        <v>4</v>
      </c>
    </row>
    <row r="256">
      <c r="A256" s="13">
        <v>44672.0</v>
      </c>
      <c r="B256" s="1">
        <v>-0.585</v>
      </c>
      <c r="C256" s="6">
        <f t="shared" si="1"/>
        <v>0</v>
      </c>
    </row>
    <row r="257" hidden="1">
      <c r="A257" s="13">
        <v>44673.0</v>
      </c>
      <c r="B257" s="1">
        <v>-0.583</v>
      </c>
      <c r="C257" s="6">
        <f t="shared" si="1"/>
        <v>1</v>
      </c>
    </row>
    <row r="258" hidden="1">
      <c r="A258" s="13">
        <v>44676.0</v>
      </c>
      <c r="B258" s="1">
        <v>-0.585</v>
      </c>
      <c r="C258" s="6">
        <f t="shared" si="1"/>
        <v>2</v>
      </c>
    </row>
    <row r="259" hidden="1">
      <c r="A259" s="13">
        <v>44677.0</v>
      </c>
      <c r="B259" s="1">
        <v>-0.582</v>
      </c>
      <c r="C259" s="6">
        <f t="shared" si="1"/>
        <v>3</v>
      </c>
    </row>
    <row r="260" hidden="1">
      <c r="A260" s="13">
        <v>44678.0</v>
      </c>
      <c r="B260" s="1">
        <v>-0.583</v>
      </c>
      <c r="C260" s="6">
        <f t="shared" si="1"/>
        <v>4</v>
      </c>
    </row>
    <row r="261">
      <c r="A261" s="13">
        <v>44679.0</v>
      </c>
      <c r="B261" s="1">
        <v>-0.583</v>
      </c>
      <c r="C261" s="6">
        <f t="shared" si="1"/>
        <v>0</v>
      </c>
    </row>
    <row r="262" hidden="1">
      <c r="A262" s="13">
        <v>44680.0</v>
      </c>
      <c r="B262" s="1">
        <v>-0.586</v>
      </c>
      <c r="C262" s="6">
        <f t="shared" si="1"/>
        <v>1</v>
      </c>
    </row>
    <row r="263" hidden="1">
      <c r="A263" s="13">
        <v>44683.0</v>
      </c>
      <c r="B263" s="1">
        <v>-0.583</v>
      </c>
      <c r="C263" s="6">
        <f t="shared" si="1"/>
        <v>2</v>
      </c>
    </row>
    <row r="264" hidden="1">
      <c r="A264" s="13">
        <v>44684.0</v>
      </c>
      <c r="B264" s="1">
        <v>-0.579</v>
      </c>
      <c r="C264" s="6">
        <f t="shared" si="1"/>
        <v>3</v>
      </c>
    </row>
    <row r="265" hidden="1">
      <c r="A265" s="13">
        <v>44685.0</v>
      </c>
      <c r="B265" s="1">
        <v>-0.585</v>
      </c>
      <c r="C265" s="6">
        <f t="shared" si="1"/>
        <v>4</v>
      </c>
    </row>
    <row r="266">
      <c r="A266" s="13">
        <v>44686.0</v>
      </c>
      <c r="B266" s="1">
        <v>-0.585</v>
      </c>
      <c r="C266" s="6">
        <f t="shared" si="1"/>
        <v>0</v>
      </c>
    </row>
    <row r="267" hidden="1">
      <c r="A267" s="13">
        <v>44687.0</v>
      </c>
      <c r="B267" s="1">
        <v>-0.585</v>
      </c>
      <c r="C267" s="6">
        <f t="shared" si="1"/>
        <v>1</v>
      </c>
    </row>
    <row r="268" hidden="1">
      <c r="A268" s="13">
        <v>44690.0</v>
      </c>
      <c r="B268" s="1">
        <v>-0.586</v>
      </c>
      <c r="C268" s="6">
        <f t="shared" si="1"/>
        <v>2</v>
      </c>
    </row>
    <row r="269" hidden="1">
      <c r="A269" s="13">
        <v>44691.0</v>
      </c>
      <c r="B269" s="1">
        <v>-0.584</v>
      </c>
      <c r="C269" s="6">
        <f t="shared" si="1"/>
        <v>3</v>
      </c>
    </row>
    <row r="270" hidden="1">
      <c r="A270" s="13">
        <v>44692.0</v>
      </c>
      <c r="B270" s="1">
        <v>-0.584</v>
      </c>
      <c r="C270" s="6">
        <f t="shared" si="1"/>
        <v>4</v>
      </c>
    </row>
    <row r="271">
      <c r="A271" s="13">
        <v>44693.0</v>
      </c>
      <c r="B271" s="1">
        <v>-0.577</v>
      </c>
      <c r="C271" s="6">
        <f t="shared" si="1"/>
        <v>0</v>
      </c>
    </row>
    <row r="272" hidden="1">
      <c r="A272" s="13">
        <v>44694.0</v>
      </c>
      <c r="B272" s="1">
        <v>-0.586</v>
      </c>
      <c r="C272" s="6">
        <f t="shared" si="1"/>
        <v>1</v>
      </c>
    </row>
    <row r="273" hidden="1">
      <c r="A273" s="13">
        <v>44697.0</v>
      </c>
      <c r="B273" s="1">
        <v>-0.585</v>
      </c>
      <c r="C273" s="6">
        <f t="shared" si="1"/>
        <v>2</v>
      </c>
    </row>
    <row r="274" hidden="1">
      <c r="A274" s="13">
        <v>44698.0</v>
      </c>
      <c r="B274" s="1">
        <v>-0.585</v>
      </c>
      <c r="C274" s="6">
        <f t="shared" si="1"/>
        <v>3</v>
      </c>
    </row>
    <row r="275" hidden="1">
      <c r="A275" s="13">
        <v>44699.0</v>
      </c>
      <c r="B275" s="1">
        <v>-0.585</v>
      </c>
      <c r="C275" s="6">
        <f t="shared" si="1"/>
        <v>4</v>
      </c>
    </row>
    <row r="276">
      <c r="A276" s="13">
        <v>44700.0</v>
      </c>
      <c r="B276" s="1">
        <v>-0.585</v>
      </c>
      <c r="C276" s="6">
        <f t="shared" si="1"/>
        <v>0</v>
      </c>
    </row>
    <row r="277" hidden="1">
      <c r="A277" s="13">
        <v>44701.0</v>
      </c>
      <c r="B277" s="1">
        <v>-0.585</v>
      </c>
      <c r="C277" s="6">
        <f t="shared" si="1"/>
        <v>1</v>
      </c>
    </row>
    <row r="278" hidden="1">
      <c r="A278" s="13">
        <v>44704.0</v>
      </c>
      <c r="B278" s="1">
        <v>-0.586</v>
      </c>
      <c r="C278" s="6">
        <f t="shared" si="1"/>
        <v>2</v>
      </c>
    </row>
    <row r="279" hidden="1">
      <c r="A279" s="13">
        <v>44705.0</v>
      </c>
      <c r="B279" s="1">
        <v>-0.587</v>
      </c>
      <c r="C279" s="6">
        <f t="shared" si="1"/>
        <v>3</v>
      </c>
    </row>
    <row r="280" hidden="1">
      <c r="A280" s="13">
        <v>44706.0</v>
      </c>
      <c r="B280" s="1">
        <v>-0.587</v>
      </c>
      <c r="C280" s="6">
        <f t="shared" si="1"/>
        <v>4</v>
      </c>
    </row>
    <row r="281">
      <c r="A281" s="13">
        <v>44707.0</v>
      </c>
      <c r="B281" s="1">
        <v>-0.59</v>
      </c>
      <c r="C281" s="6">
        <f t="shared" si="1"/>
        <v>0</v>
      </c>
    </row>
    <row r="282" hidden="1">
      <c r="A282" s="13">
        <v>44708.0</v>
      </c>
      <c r="B282" s="1">
        <v>-0.585</v>
      </c>
      <c r="C282" s="6">
        <f t="shared" si="1"/>
        <v>1</v>
      </c>
    </row>
    <row r="283" hidden="1">
      <c r="A283" s="13">
        <v>44711.0</v>
      </c>
      <c r="B283" s="1">
        <v>-0.586</v>
      </c>
      <c r="C283" s="6">
        <f t="shared" si="1"/>
        <v>2</v>
      </c>
    </row>
    <row r="284" hidden="1">
      <c r="A284" s="13">
        <v>44712.0</v>
      </c>
      <c r="B284" s="1">
        <v>-0.589</v>
      </c>
      <c r="C284" s="6">
        <f t="shared" si="1"/>
        <v>3</v>
      </c>
    </row>
    <row r="285" hidden="1">
      <c r="A285" s="13">
        <v>44713.0</v>
      </c>
      <c r="B285" s="1">
        <v>-0.582</v>
      </c>
      <c r="C285" s="6">
        <f t="shared" si="1"/>
        <v>4</v>
      </c>
    </row>
    <row r="286">
      <c r="A286" s="13">
        <v>44714.0</v>
      </c>
      <c r="B286" s="1">
        <v>-0.585</v>
      </c>
      <c r="C286" s="6">
        <f t="shared" si="1"/>
        <v>0</v>
      </c>
    </row>
    <row r="287" hidden="1">
      <c r="A287" s="13">
        <v>44715.0</v>
      </c>
      <c r="B287" s="1">
        <v>-0.587</v>
      </c>
      <c r="C287" s="6">
        <f t="shared" si="1"/>
        <v>1</v>
      </c>
    </row>
    <row r="288" hidden="1">
      <c r="A288" s="13">
        <v>44718.0</v>
      </c>
      <c r="B288" s="1">
        <v>-0.59</v>
      </c>
      <c r="C288" s="6">
        <f t="shared" si="1"/>
        <v>2</v>
      </c>
    </row>
    <row r="289" hidden="1">
      <c r="A289" s="13">
        <v>44719.0</v>
      </c>
      <c r="B289" s="1">
        <v>-0.583</v>
      </c>
      <c r="C289" s="6">
        <f t="shared" si="1"/>
        <v>3</v>
      </c>
    </row>
    <row r="290" hidden="1">
      <c r="A290" s="13">
        <v>44720.0</v>
      </c>
      <c r="B290" s="1">
        <v>-0.582</v>
      </c>
      <c r="C290" s="6">
        <f t="shared" si="1"/>
        <v>4</v>
      </c>
    </row>
    <row r="291">
      <c r="A291" s="13">
        <v>44721.0</v>
      </c>
      <c r="B291" s="1">
        <v>-0.582</v>
      </c>
      <c r="C291" s="6">
        <f t="shared" si="1"/>
        <v>0</v>
      </c>
    </row>
    <row r="292" hidden="1">
      <c r="A292" s="13">
        <v>44722.0</v>
      </c>
      <c r="B292" s="1">
        <v>-0.581</v>
      </c>
      <c r="C292" s="6">
        <f t="shared" si="1"/>
        <v>1</v>
      </c>
    </row>
    <row r="293" hidden="1">
      <c r="A293" s="13">
        <v>44725.0</v>
      </c>
      <c r="B293" s="1">
        <v>-0.58</v>
      </c>
      <c r="C293" s="6">
        <f t="shared" si="1"/>
        <v>2</v>
      </c>
    </row>
    <row r="294" hidden="1">
      <c r="A294" s="13">
        <v>44726.0</v>
      </c>
      <c r="B294" s="1">
        <v>-0.578</v>
      </c>
      <c r="C294" s="6">
        <f t="shared" si="1"/>
        <v>3</v>
      </c>
    </row>
    <row r="295" hidden="1">
      <c r="A295" s="13">
        <v>44727.0</v>
      </c>
      <c r="B295" s="1">
        <v>-0.58</v>
      </c>
      <c r="C295" s="6">
        <f t="shared" si="1"/>
        <v>4</v>
      </c>
    </row>
    <row r="296">
      <c r="A296" s="13">
        <v>44728.0</v>
      </c>
      <c r="B296" s="1">
        <v>-0.582</v>
      </c>
      <c r="C296" s="6">
        <f t="shared" si="1"/>
        <v>0</v>
      </c>
    </row>
    <row r="297" hidden="1">
      <c r="A297" s="13">
        <v>44729.0</v>
      </c>
      <c r="B297" s="1">
        <v>-0.582</v>
      </c>
      <c r="C297" s="6">
        <f t="shared" si="1"/>
        <v>1</v>
      </c>
    </row>
    <row r="298" hidden="1">
      <c r="A298" s="13">
        <v>44732.0</v>
      </c>
      <c r="B298" s="1">
        <v>-0.581</v>
      </c>
      <c r="C298" s="6">
        <f t="shared" si="1"/>
        <v>2</v>
      </c>
    </row>
    <row r="299" hidden="1">
      <c r="A299" s="13">
        <v>44733.0</v>
      </c>
      <c r="B299" s="1">
        <v>-0.582</v>
      </c>
      <c r="C299" s="6">
        <f t="shared" si="1"/>
        <v>3</v>
      </c>
    </row>
    <row r="300" hidden="1">
      <c r="A300" s="13">
        <v>44734.0</v>
      </c>
      <c r="B300" s="1">
        <v>-0.579</v>
      </c>
      <c r="C300" s="6">
        <f t="shared" si="1"/>
        <v>4</v>
      </c>
    </row>
    <row r="301">
      <c r="A301" s="13">
        <v>44735.0</v>
      </c>
      <c r="B301" s="1">
        <v>-0.578</v>
      </c>
      <c r="C301" s="6">
        <f t="shared" si="1"/>
        <v>0</v>
      </c>
    </row>
    <row r="302" hidden="1">
      <c r="A302" s="13">
        <v>44736.0</v>
      </c>
      <c r="B302" s="1">
        <v>-0.58</v>
      </c>
      <c r="C302" s="6">
        <f t="shared" si="1"/>
        <v>1</v>
      </c>
    </row>
    <row r="303" hidden="1">
      <c r="A303" s="13">
        <v>44739.0</v>
      </c>
      <c r="B303" s="1">
        <v>-0.579</v>
      </c>
      <c r="C303" s="6">
        <f t="shared" si="1"/>
        <v>2</v>
      </c>
    </row>
    <row r="304" hidden="1">
      <c r="A304" s="13">
        <v>44740.0</v>
      </c>
      <c r="B304" s="1">
        <v>-0.581</v>
      </c>
      <c r="C304" s="6">
        <f t="shared" si="1"/>
        <v>3</v>
      </c>
    </row>
    <row r="305" hidden="1">
      <c r="A305" s="13">
        <v>44741.0</v>
      </c>
      <c r="B305" s="1">
        <v>-0.578</v>
      </c>
      <c r="C305" s="6">
        <f t="shared" si="1"/>
        <v>4</v>
      </c>
    </row>
    <row r="306">
      <c r="A306" s="13">
        <v>44742.0</v>
      </c>
      <c r="B306" s="1">
        <v>-0.591</v>
      </c>
      <c r="C306" s="6">
        <f t="shared" si="1"/>
        <v>0</v>
      </c>
    </row>
    <row r="307" hidden="1">
      <c r="A307" s="13">
        <v>44743.0</v>
      </c>
      <c r="B307" s="1">
        <v>-0.58</v>
      </c>
      <c r="C307" s="6">
        <f t="shared" si="1"/>
        <v>1</v>
      </c>
    </row>
    <row r="308" hidden="1">
      <c r="A308" s="13">
        <v>44746.0</v>
      </c>
      <c r="B308" s="1">
        <v>-0.58</v>
      </c>
      <c r="C308" s="6">
        <f t="shared" si="1"/>
        <v>2</v>
      </c>
    </row>
    <row r="309" hidden="1">
      <c r="A309" s="13">
        <v>44747.0</v>
      </c>
      <c r="B309" s="1">
        <v>-0.58</v>
      </c>
      <c r="C309" s="6">
        <f t="shared" si="1"/>
        <v>3</v>
      </c>
    </row>
    <row r="310" hidden="1">
      <c r="A310" s="13">
        <v>44748.0</v>
      </c>
      <c r="B310" s="1">
        <v>-0.58</v>
      </c>
      <c r="C310" s="6">
        <f t="shared" si="1"/>
        <v>4</v>
      </c>
    </row>
    <row r="311">
      <c r="A311" s="13">
        <v>44749.0</v>
      </c>
      <c r="B311" s="1">
        <v>-0.579</v>
      </c>
      <c r="C311" s="6">
        <f t="shared" si="1"/>
        <v>0</v>
      </c>
    </row>
    <row r="312" hidden="1">
      <c r="A312" s="13">
        <v>44750.0</v>
      </c>
      <c r="B312" s="1">
        <v>-0.579</v>
      </c>
      <c r="C312" s="6">
        <f t="shared" si="1"/>
        <v>1</v>
      </c>
    </row>
    <row r="313" hidden="1">
      <c r="A313" s="13">
        <v>44753.0</v>
      </c>
      <c r="B313" s="1">
        <v>-0.58</v>
      </c>
      <c r="C313" s="6">
        <f t="shared" si="1"/>
        <v>2</v>
      </c>
    </row>
    <row r="314" hidden="1">
      <c r="A314" s="13">
        <v>44754.0</v>
      </c>
      <c r="B314" s="1">
        <v>-0.58</v>
      </c>
      <c r="C314" s="6">
        <f t="shared" si="1"/>
        <v>3</v>
      </c>
    </row>
    <row r="315" hidden="1">
      <c r="A315" s="13">
        <v>44755.0</v>
      </c>
      <c r="B315" s="1">
        <v>-0.581</v>
      </c>
      <c r="C315" s="6">
        <f t="shared" si="1"/>
        <v>4</v>
      </c>
    </row>
    <row r="316">
      <c r="A316" s="13">
        <v>44756.0</v>
      </c>
      <c r="B316" s="1">
        <v>-0.582</v>
      </c>
      <c r="C316" s="6">
        <f t="shared" si="1"/>
        <v>0</v>
      </c>
    </row>
    <row r="317" hidden="1">
      <c r="A317" s="13">
        <v>44757.0</v>
      </c>
      <c r="B317" s="1">
        <v>-0.582</v>
      </c>
      <c r="C317" s="6">
        <f t="shared" si="1"/>
        <v>1</v>
      </c>
    </row>
    <row r="318" hidden="1">
      <c r="A318" s="13">
        <v>44760.0</v>
      </c>
      <c r="B318" s="1">
        <v>-0.582</v>
      </c>
      <c r="C318" s="6">
        <f t="shared" si="1"/>
        <v>2</v>
      </c>
    </row>
    <row r="319" hidden="1">
      <c r="A319" s="13">
        <v>44761.0</v>
      </c>
      <c r="B319" s="1">
        <v>-0.583</v>
      </c>
      <c r="C319" s="6">
        <f t="shared" si="1"/>
        <v>3</v>
      </c>
    </row>
    <row r="320" hidden="1">
      <c r="A320" s="13">
        <v>44762.0</v>
      </c>
      <c r="B320" s="1">
        <v>-0.582</v>
      </c>
      <c r="C320" s="6">
        <f t="shared" si="1"/>
        <v>4</v>
      </c>
    </row>
    <row r="321">
      <c r="A321" s="13">
        <v>44763.0</v>
      </c>
      <c r="B321" s="1">
        <v>-0.584</v>
      </c>
      <c r="C321" s="6">
        <f t="shared" si="1"/>
        <v>0</v>
      </c>
    </row>
    <row r="322" hidden="1">
      <c r="A322" s="13">
        <v>44764.0</v>
      </c>
      <c r="B322" s="1">
        <v>-0.582</v>
      </c>
      <c r="C322" s="6">
        <f t="shared" si="1"/>
        <v>1</v>
      </c>
    </row>
    <row r="323" hidden="1">
      <c r="A323" s="13">
        <v>44767.0</v>
      </c>
      <c r="B323" s="1">
        <v>-0.583</v>
      </c>
      <c r="C323" s="6">
        <f t="shared" si="1"/>
        <v>2</v>
      </c>
    </row>
    <row r="324" hidden="1">
      <c r="A324" s="13">
        <v>44768.0</v>
      </c>
      <c r="B324" s="1">
        <v>-0.581</v>
      </c>
      <c r="C324" s="6">
        <f t="shared" si="1"/>
        <v>3</v>
      </c>
    </row>
    <row r="325" hidden="1">
      <c r="A325" s="13">
        <v>44769.0</v>
      </c>
      <c r="B325" s="1">
        <v>-0.085</v>
      </c>
      <c r="C325" s="6">
        <f t="shared" si="1"/>
        <v>4</v>
      </c>
    </row>
    <row r="326">
      <c r="A326" s="13">
        <v>44770.0</v>
      </c>
      <c r="B326" s="1">
        <v>-0.087</v>
      </c>
      <c r="C326" s="6">
        <f t="shared" si="1"/>
        <v>0</v>
      </c>
    </row>
    <row r="327" hidden="1">
      <c r="A327" s="13">
        <v>44771.0</v>
      </c>
      <c r="B327" s="1">
        <v>-0.091</v>
      </c>
      <c r="C327" s="6">
        <f t="shared" si="1"/>
        <v>1</v>
      </c>
    </row>
    <row r="328" hidden="1">
      <c r="A328" s="13">
        <v>44774.0</v>
      </c>
      <c r="B328" s="1">
        <v>-0.088</v>
      </c>
      <c r="C328" s="6">
        <f t="shared" si="1"/>
        <v>2</v>
      </c>
    </row>
    <row r="329" hidden="1">
      <c r="A329" s="13">
        <v>44775.0</v>
      </c>
      <c r="B329" s="1">
        <v>-0.087</v>
      </c>
      <c r="C329" s="6">
        <f t="shared" si="1"/>
        <v>3</v>
      </c>
    </row>
    <row r="330" hidden="1">
      <c r="A330" s="13">
        <v>44776.0</v>
      </c>
      <c r="B330" s="1">
        <v>-0.087</v>
      </c>
      <c r="C330" s="6">
        <f t="shared" si="1"/>
        <v>4</v>
      </c>
    </row>
    <row r="331">
      <c r="A331" s="13">
        <v>44777.0</v>
      </c>
      <c r="B331" s="1">
        <v>-0.084</v>
      </c>
      <c r="C331" s="6">
        <f t="shared" si="1"/>
        <v>0</v>
      </c>
    </row>
    <row r="332" hidden="1">
      <c r="A332" s="13">
        <v>44778.0</v>
      </c>
      <c r="B332" s="1">
        <v>-0.085</v>
      </c>
      <c r="C332" s="6">
        <f t="shared" si="1"/>
        <v>1</v>
      </c>
    </row>
    <row r="333" hidden="1">
      <c r="A333" s="13">
        <v>44781.0</v>
      </c>
      <c r="B333" s="1">
        <v>-0.085</v>
      </c>
      <c r="C333" s="6">
        <f t="shared" si="1"/>
        <v>2</v>
      </c>
    </row>
    <row r="334" hidden="1">
      <c r="A334" s="13">
        <v>44782.0</v>
      </c>
      <c r="B334" s="1">
        <v>-0.085</v>
      </c>
      <c r="C334" s="6">
        <f t="shared" si="1"/>
        <v>3</v>
      </c>
    </row>
    <row r="335" hidden="1">
      <c r="A335" s="13">
        <v>44783.0</v>
      </c>
      <c r="B335" s="1">
        <v>-0.086</v>
      </c>
      <c r="C335" s="6">
        <f t="shared" si="1"/>
        <v>4</v>
      </c>
    </row>
    <row r="336">
      <c r="A336" s="13">
        <v>44784.0</v>
      </c>
      <c r="B336" s="1">
        <v>-0.085</v>
      </c>
      <c r="C336" s="6">
        <f t="shared" si="1"/>
        <v>0</v>
      </c>
    </row>
    <row r="337" hidden="1">
      <c r="A337" s="13">
        <v>44785.0</v>
      </c>
      <c r="B337" s="1">
        <v>-0.088</v>
      </c>
      <c r="C337" s="6">
        <f t="shared" si="1"/>
        <v>1</v>
      </c>
    </row>
    <row r="338" hidden="1">
      <c r="A338" s="13">
        <v>44788.0</v>
      </c>
      <c r="B338" s="1">
        <v>-0.088</v>
      </c>
      <c r="C338" s="6">
        <f t="shared" si="1"/>
        <v>2</v>
      </c>
    </row>
    <row r="339" hidden="1">
      <c r="A339" s="13">
        <v>44789.0</v>
      </c>
      <c r="B339" s="1">
        <v>-0.087</v>
      </c>
      <c r="C339" s="6">
        <f t="shared" si="1"/>
        <v>3</v>
      </c>
    </row>
    <row r="340" hidden="1">
      <c r="A340" s="13">
        <v>44790.0</v>
      </c>
      <c r="B340" s="1">
        <v>-0.087</v>
      </c>
      <c r="C340" s="6">
        <f t="shared" si="1"/>
        <v>4</v>
      </c>
    </row>
    <row r="341">
      <c r="A341" s="13">
        <v>44791.0</v>
      </c>
      <c r="B341" s="1">
        <v>-0.084</v>
      </c>
      <c r="C341" s="6">
        <f t="shared" si="1"/>
        <v>0</v>
      </c>
    </row>
    <row r="342" hidden="1">
      <c r="A342" s="13">
        <v>44792.0</v>
      </c>
      <c r="B342" s="1">
        <v>-0.084</v>
      </c>
      <c r="C342" s="6">
        <f t="shared" si="1"/>
        <v>1</v>
      </c>
    </row>
    <row r="343" hidden="1">
      <c r="A343" s="13">
        <v>44795.0</v>
      </c>
      <c r="B343" s="1">
        <v>-0.082</v>
      </c>
      <c r="C343" s="6">
        <f t="shared" si="1"/>
        <v>2</v>
      </c>
    </row>
    <row r="344" hidden="1">
      <c r="A344" s="13">
        <v>44796.0</v>
      </c>
      <c r="B344" s="1">
        <v>-0.08</v>
      </c>
      <c r="C344" s="6">
        <f t="shared" si="1"/>
        <v>3</v>
      </c>
    </row>
    <row r="345" hidden="1">
      <c r="A345" s="13">
        <v>44797.0</v>
      </c>
      <c r="B345" s="1">
        <v>-0.082</v>
      </c>
      <c r="C345" s="6">
        <f t="shared" si="1"/>
        <v>4</v>
      </c>
    </row>
    <row r="346">
      <c r="A346" s="13">
        <v>44798.0</v>
      </c>
      <c r="B346" s="1">
        <v>-0.08</v>
      </c>
      <c r="C346" s="6">
        <f t="shared" si="1"/>
        <v>0</v>
      </c>
    </row>
    <row r="347" hidden="1">
      <c r="A347" s="13">
        <v>44799.0</v>
      </c>
      <c r="B347" s="1">
        <v>-0.08</v>
      </c>
      <c r="C347" s="6">
        <f t="shared" si="1"/>
        <v>1</v>
      </c>
    </row>
    <row r="348" hidden="1">
      <c r="A348" s="13">
        <v>44802.0</v>
      </c>
      <c r="B348" s="1">
        <v>-0.081</v>
      </c>
      <c r="C348" s="6">
        <f t="shared" si="1"/>
        <v>2</v>
      </c>
    </row>
    <row r="349" hidden="1">
      <c r="A349" s="13">
        <v>44803.0</v>
      </c>
      <c r="B349" s="1">
        <v>-0.084</v>
      </c>
      <c r="C349" s="6">
        <f t="shared" si="1"/>
        <v>3</v>
      </c>
    </row>
    <row r="350" hidden="1">
      <c r="A350" s="13">
        <v>44804.0</v>
      </c>
      <c r="B350" s="1">
        <v>-0.091</v>
      </c>
      <c r="C350" s="6">
        <f t="shared" si="1"/>
        <v>4</v>
      </c>
    </row>
    <row r="351">
      <c r="A351" s="13">
        <v>44805.0</v>
      </c>
      <c r="B351" s="1">
        <v>-0.084</v>
      </c>
      <c r="C351" s="6">
        <f t="shared" si="1"/>
        <v>0</v>
      </c>
    </row>
    <row r="352" hidden="1">
      <c r="A352" s="13">
        <v>44806.0</v>
      </c>
      <c r="B352" s="1">
        <v>-0.083</v>
      </c>
      <c r="C352" s="6">
        <f t="shared" si="1"/>
        <v>1</v>
      </c>
    </row>
    <row r="353" hidden="1">
      <c r="A353" s="13">
        <v>44809.0</v>
      </c>
      <c r="B353" s="1">
        <v>-0.087</v>
      </c>
      <c r="C353" s="6">
        <f t="shared" si="1"/>
        <v>2</v>
      </c>
    </row>
    <row r="354" hidden="1">
      <c r="A354" s="13">
        <v>44810.0</v>
      </c>
      <c r="B354" s="1">
        <v>-0.085</v>
      </c>
      <c r="C354" s="6">
        <f t="shared" si="1"/>
        <v>3</v>
      </c>
    </row>
    <row r="355" hidden="1">
      <c r="A355" s="13">
        <v>44811.0</v>
      </c>
      <c r="B355" s="1">
        <v>-0.076</v>
      </c>
      <c r="C355" s="6">
        <f t="shared" si="1"/>
        <v>4</v>
      </c>
    </row>
    <row r="356">
      <c r="A356" s="13">
        <v>44812.0</v>
      </c>
      <c r="B356" s="1">
        <v>-0.086</v>
      </c>
      <c r="C356" s="6">
        <f t="shared" si="1"/>
        <v>0</v>
      </c>
    </row>
    <row r="357" hidden="1">
      <c r="A357" s="13">
        <v>44813.0</v>
      </c>
      <c r="B357" s="1">
        <v>-0.085</v>
      </c>
      <c r="C357" s="6">
        <f t="shared" si="1"/>
        <v>1</v>
      </c>
    </row>
    <row r="358" hidden="1">
      <c r="A358" s="13">
        <v>44816.0</v>
      </c>
      <c r="B358" s="1">
        <v>-0.086</v>
      </c>
      <c r="C358" s="6">
        <f t="shared" si="1"/>
        <v>2</v>
      </c>
    </row>
    <row r="359" hidden="1">
      <c r="A359" s="13">
        <v>44817.0</v>
      </c>
      <c r="B359" s="1">
        <v>-0.083</v>
      </c>
      <c r="C359" s="6">
        <f t="shared" si="1"/>
        <v>3</v>
      </c>
    </row>
    <row r="360" hidden="1">
      <c r="A360" s="13">
        <v>44818.0</v>
      </c>
      <c r="B360" s="1">
        <v>0.662</v>
      </c>
      <c r="C360" s="6">
        <f t="shared" si="1"/>
        <v>4</v>
      </c>
    </row>
    <row r="361">
      <c r="A361" s="13">
        <v>44819.0</v>
      </c>
      <c r="B361" s="1">
        <v>0.66</v>
      </c>
      <c r="C361" s="6">
        <f t="shared" si="1"/>
        <v>0</v>
      </c>
    </row>
    <row r="362" hidden="1">
      <c r="A362" s="13">
        <v>44820.0</v>
      </c>
      <c r="B362" s="1">
        <v>0.66</v>
      </c>
      <c r="C362" s="6">
        <f t="shared" si="1"/>
        <v>1</v>
      </c>
    </row>
    <row r="363" hidden="1">
      <c r="A363" s="13">
        <v>44823.0</v>
      </c>
      <c r="B363" s="1">
        <v>0.657</v>
      </c>
      <c r="C363" s="6">
        <f t="shared" si="1"/>
        <v>2</v>
      </c>
    </row>
    <row r="364" hidden="1">
      <c r="A364" s="13">
        <v>44824.0</v>
      </c>
      <c r="B364" s="1">
        <v>0.659</v>
      </c>
      <c r="C364" s="6">
        <f t="shared" si="1"/>
        <v>3</v>
      </c>
    </row>
    <row r="365" hidden="1">
      <c r="A365" s="13">
        <v>44825.0</v>
      </c>
      <c r="B365" s="1">
        <v>0.661</v>
      </c>
      <c r="C365" s="6">
        <f t="shared" si="1"/>
        <v>4</v>
      </c>
    </row>
    <row r="366">
      <c r="A366" s="13">
        <v>44826.0</v>
      </c>
      <c r="B366" s="1">
        <v>0.661</v>
      </c>
      <c r="C366" s="6">
        <f t="shared" si="1"/>
        <v>0</v>
      </c>
    </row>
    <row r="367" hidden="1">
      <c r="A367" s="13">
        <v>44827.0</v>
      </c>
      <c r="B367" s="1">
        <v>0.662</v>
      </c>
      <c r="C367" s="6">
        <f t="shared" si="1"/>
        <v>1</v>
      </c>
    </row>
    <row r="368" hidden="1">
      <c r="A368" s="13">
        <v>44830.0</v>
      </c>
      <c r="B368" s="1">
        <v>0.663</v>
      </c>
      <c r="C368" s="6">
        <f t="shared" si="1"/>
        <v>2</v>
      </c>
    </row>
    <row r="369" hidden="1">
      <c r="A369" s="13">
        <v>44831.0</v>
      </c>
      <c r="B369" s="1">
        <v>0.662</v>
      </c>
      <c r="C369" s="6">
        <f t="shared" si="1"/>
        <v>3</v>
      </c>
    </row>
    <row r="370" hidden="1">
      <c r="A370" s="13">
        <v>44832.0</v>
      </c>
      <c r="B370" s="1">
        <v>0.662</v>
      </c>
      <c r="C370" s="6">
        <f t="shared" si="1"/>
        <v>4</v>
      </c>
    </row>
    <row r="371">
      <c r="A371" s="13">
        <v>44833.0</v>
      </c>
      <c r="B371" s="1">
        <v>0.661</v>
      </c>
      <c r="C371" s="6">
        <f t="shared" si="1"/>
        <v>0</v>
      </c>
    </row>
    <row r="372" hidden="1">
      <c r="A372" s="13">
        <v>44834.0</v>
      </c>
      <c r="B372" s="1">
        <v>0.642</v>
      </c>
      <c r="C372" s="6">
        <f t="shared" si="1"/>
        <v>1</v>
      </c>
    </row>
    <row r="373" hidden="1">
      <c r="A373" s="13">
        <v>44837.0</v>
      </c>
      <c r="B373" s="1">
        <v>0.656</v>
      </c>
      <c r="C373" s="6">
        <f t="shared" si="1"/>
        <v>2</v>
      </c>
    </row>
    <row r="374" hidden="1">
      <c r="A374" s="13">
        <v>44838.0</v>
      </c>
      <c r="B374" s="1">
        <v>0.657</v>
      </c>
      <c r="C374" s="6">
        <f t="shared" si="1"/>
        <v>3</v>
      </c>
    </row>
    <row r="375" hidden="1">
      <c r="A375" s="13">
        <v>44839.0</v>
      </c>
      <c r="B375" s="1">
        <v>0.652</v>
      </c>
      <c r="C375" s="6">
        <f t="shared" si="1"/>
        <v>4</v>
      </c>
    </row>
    <row r="376">
      <c r="A376" s="13">
        <v>44840.0</v>
      </c>
      <c r="B376" s="1">
        <v>0.655</v>
      </c>
      <c r="C376" s="6">
        <f t="shared" si="1"/>
        <v>0</v>
      </c>
    </row>
    <row r="377" hidden="1">
      <c r="A377" s="13">
        <v>44841.0</v>
      </c>
      <c r="B377" s="1">
        <v>0.656</v>
      </c>
      <c r="C377" s="6">
        <f t="shared" si="1"/>
        <v>1</v>
      </c>
    </row>
    <row r="378" hidden="1">
      <c r="A378" s="13">
        <v>44844.0</v>
      </c>
      <c r="B378" s="1">
        <v>0.655</v>
      </c>
      <c r="C378" s="6">
        <f t="shared" si="1"/>
        <v>2</v>
      </c>
    </row>
    <row r="379" hidden="1">
      <c r="A379" s="13">
        <v>44845.0</v>
      </c>
      <c r="B379" s="1">
        <v>0.657</v>
      </c>
      <c r="C379" s="6">
        <f t="shared" si="1"/>
        <v>3</v>
      </c>
    </row>
    <row r="380" hidden="1">
      <c r="A380" s="13">
        <v>44846.0</v>
      </c>
      <c r="B380" s="1">
        <v>0.658</v>
      </c>
      <c r="C380" s="6">
        <f t="shared" si="1"/>
        <v>4</v>
      </c>
    </row>
    <row r="381">
      <c r="A381" s="13">
        <v>44847.0</v>
      </c>
      <c r="B381" s="1">
        <v>0.658</v>
      </c>
      <c r="C381" s="6">
        <f t="shared" si="1"/>
        <v>0</v>
      </c>
    </row>
    <row r="382" hidden="1">
      <c r="A382" s="13">
        <v>44848.0</v>
      </c>
      <c r="B382" s="1">
        <v>0.657</v>
      </c>
      <c r="C382" s="6">
        <f t="shared" si="1"/>
        <v>1</v>
      </c>
    </row>
    <row r="383" hidden="1">
      <c r="A383" s="13">
        <v>44851.0</v>
      </c>
      <c r="B383" s="1">
        <v>0.658</v>
      </c>
      <c r="C383" s="6">
        <f t="shared" si="1"/>
        <v>2</v>
      </c>
    </row>
    <row r="384" hidden="1">
      <c r="A384" s="13">
        <v>44852.0</v>
      </c>
      <c r="B384" s="1">
        <v>0.657</v>
      </c>
      <c r="C384" s="6">
        <f t="shared" si="1"/>
        <v>3</v>
      </c>
    </row>
    <row r="385" hidden="1">
      <c r="A385" s="13">
        <v>44853.0</v>
      </c>
      <c r="B385" s="1">
        <v>0.656</v>
      </c>
      <c r="C385" s="6">
        <f t="shared" si="1"/>
        <v>4</v>
      </c>
    </row>
    <row r="386">
      <c r="A386" s="13">
        <v>44854.0</v>
      </c>
      <c r="B386" s="1">
        <v>0.656</v>
      </c>
      <c r="C386" s="6">
        <f t="shared" si="1"/>
        <v>0</v>
      </c>
    </row>
    <row r="387" hidden="1">
      <c r="A387" s="13">
        <v>44855.0</v>
      </c>
      <c r="B387" s="1">
        <v>0.657</v>
      </c>
      <c r="C387" s="6">
        <f t="shared" si="1"/>
        <v>1</v>
      </c>
    </row>
    <row r="388" hidden="1">
      <c r="A388" s="13">
        <v>44858.0</v>
      </c>
      <c r="B388" s="1">
        <v>0.658</v>
      </c>
      <c r="C388" s="6">
        <f t="shared" si="1"/>
        <v>2</v>
      </c>
    </row>
    <row r="389" hidden="1">
      <c r="A389" s="13">
        <v>44859.0</v>
      </c>
      <c r="B389" s="1">
        <v>0.656</v>
      </c>
      <c r="C389" s="6">
        <f t="shared" si="1"/>
        <v>3</v>
      </c>
    </row>
    <row r="390" hidden="1">
      <c r="A390" s="13">
        <v>44860.0</v>
      </c>
      <c r="B390" s="1">
        <v>0.656</v>
      </c>
      <c r="C390" s="6">
        <f t="shared" si="1"/>
        <v>4</v>
      </c>
    </row>
    <row r="391">
      <c r="A391" s="13">
        <v>44861.0</v>
      </c>
      <c r="B391" s="1">
        <v>0.657</v>
      </c>
      <c r="C391" s="6">
        <f t="shared" si="1"/>
        <v>0</v>
      </c>
    </row>
    <row r="392" hidden="1">
      <c r="A392" s="13">
        <v>44862.0</v>
      </c>
      <c r="B392" s="1">
        <v>0.656</v>
      </c>
      <c r="C392" s="6">
        <f t="shared" si="1"/>
        <v>1</v>
      </c>
    </row>
    <row r="393" hidden="1">
      <c r="A393" s="13">
        <v>44865.0</v>
      </c>
      <c r="B393" s="1">
        <v>0.648</v>
      </c>
      <c r="C393" s="6">
        <f t="shared" si="1"/>
        <v>2</v>
      </c>
    </row>
    <row r="394" hidden="1">
      <c r="A394" s="13">
        <v>44866.0</v>
      </c>
      <c r="B394" s="1">
        <v>0.659</v>
      </c>
      <c r="C394" s="6">
        <f t="shared" si="1"/>
        <v>3</v>
      </c>
    </row>
    <row r="395" hidden="1">
      <c r="A395" s="13">
        <v>44867.0</v>
      </c>
      <c r="B395" s="1">
        <v>1.403</v>
      </c>
      <c r="C395" s="6">
        <f t="shared" si="1"/>
        <v>4</v>
      </c>
    </row>
    <row r="396">
      <c r="A396" s="13">
        <v>44868.0</v>
      </c>
      <c r="B396" s="1">
        <v>1.403</v>
      </c>
      <c r="C396" s="6">
        <f t="shared" si="1"/>
        <v>0</v>
      </c>
    </row>
    <row r="397" hidden="1">
      <c r="A397" s="13">
        <v>44869.0</v>
      </c>
      <c r="B397" s="1">
        <v>1.401</v>
      </c>
      <c r="C397" s="6">
        <f t="shared" si="1"/>
        <v>1</v>
      </c>
    </row>
    <row r="398" hidden="1">
      <c r="A398" s="13">
        <v>44872.0</v>
      </c>
      <c r="B398" s="1">
        <v>1.4</v>
      </c>
      <c r="C398" s="6">
        <f t="shared" si="1"/>
        <v>2</v>
      </c>
    </row>
    <row r="399" hidden="1">
      <c r="A399" s="13">
        <v>44873.0</v>
      </c>
      <c r="B399" s="1">
        <v>1.4</v>
      </c>
      <c r="C399" s="6">
        <f t="shared" si="1"/>
        <v>3</v>
      </c>
    </row>
    <row r="400" hidden="1">
      <c r="A400" s="13">
        <v>44874.0</v>
      </c>
      <c r="B400" s="1">
        <v>1.4</v>
      </c>
      <c r="C400" s="6">
        <f t="shared" si="1"/>
        <v>4</v>
      </c>
    </row>
    <row r="401">
      <c r="A401" s="13">
        <v>44875.0</v>
      </c>
      <c r="B401" s="1">
        <v>1.402</v>
      </c>
      <c r="C401" s="6">
        <f t="shared" si="1"/>
        <v>0</v>
      </c>
    </row>
    <row r="402" hidden="1">
      <c r="A402" s="13">
        <v>44876.0</v>
      </c>
      <c r="B402" s="1">
        <v>1.404</v>
      </c>
      <c r="C402" s="6">
        <f t="shared" si="1"/>
        <v>1</v>
      </c>
    </row>
    <row r="403" hidden="1">
      <c r="A403" s="13">
        <v>44879.0</v>
      </c>
      <c r="B403" s="1">
        <v>1.401</v>
      </c>
      <c r="C403" s="6">
        <f t="shared" si="1"/>
        <v>2</v>
      </c>
    </row>
    <row r="404" hidden="1">
      <c r="A404" s="13">
        <v>44880.0</v>
      </c>
      <c r="B404" s="1">
        <v>1.4</v>
      </c>
      <c r="C404" s="6">
        <f t="shared" si="1"/>
        <v>3</v>
      </c>
    </row>
    <row r="405" hidden="1">
      <c r="A405" s="13">
        <v>44881.0</v>
      </c>
      <c r="B405" s="1">
        <v>1.401</v>
      </c>
      <c r="C405" s="6">
        <f t="shared" si="1"/>
        <v>4</v>
      </c>
    </row>
    <row r="406">
      <c r="A406" s="13">
        <v>44882.0</v>
      </c>
      <c r="B406" s="1">
        <v>1.402</v>
      </c>
      <c r="C406" s="6">
        <f t="shared" si="1"/>
        <v>0</v>
      </c>
    </row>
    <row r="407" hidden="1">
      <c r="A407" s="13">
        <v>44883.0</v>
      </c>
      <c r="B407" s="1">
        <v>1.403</v>
      </c>
      <c r="C407" s="6">
        <f t="shared" si="1"/>
        <v>1</v>
      </c>
    </row>
    <row r="408" hidden="1">
      <c r="A408" s="13">
        <v>44886.0</v>
      </c>
      <c r="B408" s="1">
        <v>1.403</v>
      </c>
      <c r="C408" s="6">
        <f t="shared" si="1"/>
        <v>2</v>
      </c>
    </row>
    <row r="409" hidden="1">
      <c r="A409" s="13">
        <v>44887.0</v>
      </c>
      <c r="B409" s="1">
        <v>1.404</v>
      </c>
      <c r="C409" s="6">
        <f t="shared" si="1"/>
        <v>3</v>
      </c>
    </row>
    <row r="410" hidden="1">
      <c r="A410" s="13">
        <v>44888.0</v>
      </c>
      <c r="B410" s="1">
        <v>1.405</v>
      </c>
      <c r="C410" s="6">
        <f t="shared" si="1"/>
        <v>4</v>
      </c>
    </row>
    <row r="411">
      <c r="A411" s="13">
        <v>44889.0</v>
      </c>
      <c r="B411" s="1">
        <v>1.405</v>
      </c>
      <c r="C411" s="6">
        <f t="shared" si="1"/>
        <v>0</v>
      </c>
    </row>
    <row r="412" hidden="1">
      <c r="A412" s="13">
        <v>44890.0</v>
      </c>
      <c r="B412" s="1">
        <v>1.403</v>
      </c>
      <c r="C412" s="6">
        <f t="shared" si="1"/>
        <v>1</v>
      </c>
    </row>
    <row r="413" hidden="1">
      <c r="A413" s="13">
        <v>44893.0</v>
      </c>
      <c r="B413" s="1">
        <v>1.403</v>
      </c>
      <c r="C413" s="6">
        <f t="shared" si="1"/>
        <v>2</v>
      </c>
    </row>
    <row r="414" hidden="1">
      <c r="A414" s="13">
        <v>44894.0</v>
      </c>
      <c r="B414" s="1">
        <v>1.402</v>
      </c>
      <c r="C414" s="6">
        <f t="shared" si="1"/>
        <v>3</v>
      </c>
    </row>
    <row r="415" hidden="1">
      <c r="A415" s="13">
        <v>44895.0</v>
      </c>
      <c r="B415" s="1">
        <v>1.391</v>
      </c>
      <c r="C415" s="6">
        <f t="shared" si="1"/>
        <v>4</v>
      </c>
    </row>
    <row r="416">
      <c r="A416" s="13">
        <v>44896.0</v>
      </c>
      <c r="B416" s="1">
        <v>1.4</v>
      </c>
      <c r="C416" s="6">
        <f t="shared" si="1"/>
        <v>0</v>
      </c>
    </row>
    <row r="417" hidden="1">
      <c r="A417" s="13">
        <v>44897.0</v>
      </c>
      <c r="B417" s="1">
        <v>1.4</v>
      </c>
      <c r="C417" s="6">
        <f t="shared" si="1"/>
        <v>1</v>
      </c>
    </row>
    <row r="418" hidden="1">
      <c r="A418" s="13">
        <v>44900.0</v>
      </c>
      <c r="B418" s="1">
        <v>1.398</v>
      </c>
      <c r="C418" s="6">
        <f t="shared" si="1"/>
        <v>2</v>
      </c>
    </row>
    <row r="419" hidden="1">
      <c r="A419" s="13">
        <v>44901.0</v>
      </c>
      <c r="B419" s="1">
        <v>1.406</v>
      </c>
      <c r="C419" s="6">
        <f t="shared" si="1"/>
        <v>3</v>
      </c>
    </row>
    <row r="420" hidden="1">
      <c r="A420" s="13">
        <v>44902.0</v>
      </c>
      <c r="B420" s="1">
        <v>1.399</v>
      </c>
      <c r="C420" s="6">
        <f t="shared" si="1"/>
        <v>4</v>
      </c>
    </row>
    <row r="421">
      <c r="A421" s="13">
        <v>44903.0</v>
      </c>
      <c r="B421" s="1">
        <v>1.4</v>
      </c>
      <c r="C421" s="6">
        <f t="shared" si="1"/>
        <v>0</v>
      </c>
    </row>
    <row r="422" hidden="1">
      <c r="A422" s="13">
        <v>44904.0</v>
      </c>
      <c r="B422" s="1">
        <v>1.4</v>
      </c>
      <c r="C422" s="6">
        <f t="shared" si="1"/>
        <v>1</v>
      </c>
    </row>
    <row r="423" hidden="1">
      <c r="A423" s="13">
        <v>44907.0</v>
      </c>
      <c r="B423" s="1">
        <v>1.4</v>
      </c>
      <c r="C423" s="6">
        <f t="shared" si="1"/>
        <v>2</v>
      </c>
    </row>
    <row r="424" hidden="1">
      <c r="A424" s="13">
        <v>44908.0</v>
      </c>
      <c r="B424" s="1">
        <v>1.4</v>
      </c>
      <c r="C424" s="6">
        <f t="shared" si="1"/>
        <v>3</v>
      </c>
    </row>
    <row r="425" hidden="1">
      <c r="A425" s="13">
        <v>44909.0</v>
      </c>
      <c r="B425" s="1">
        <v>1.402</v>
      </c>
      <c r="C425" s="6">
        <f t="shared" si="1"/>
        <v>4</v>
      </c>
    </row>
    <row r="426">
      <c r="A426" s="13">
        <v>44910.0</v>
      </c>
      <c r="B426" s="1">
        <v>1.403</v>
      </c>
      <c r="C426" s="6">
        <f t="shared" si="1"/>
        <v>0</v>
      </c>
    </row>
    <row r="427" hidden="1">
      <c r="A427" s="13">
        <v>44911.0</v>
      </c>
      <c r="B427" s="1">
        <v>1.402</v>
      </c>
      <c r="C427" s="6">
        <f t="shared" si="1"/>
        <v>1</v>
      </c>
    </row>
    <row r="428" hidden="1">
      <c r="A428" s="13">
        <v>44914.0</v>
      </c>
      <c r="B428" s="1">
        <v>1.403</v>
      </c>
      <c r="C428" s="6">
        <f t="shared" si="1"/>
        <v>2</v>
      </c>
    </row>
    <row r="429" hidden="1">
      <c r="A429" s="13">
        <v>44915.0</v>
      </c>
      <c r="B429" s="1">
        <v>1.403</v>
      </c>
      <c r="C429" s="6">
        <f t="shared" si="1"/>
        <v>3</v>
      </c>
    </row>
    <row r="430" hidden="1">
      <c r="A430" s="13">
        <v>44916.0</v>
      </c>
      <c r="B430" s="1">
        <v>1.902</v>
      </c>
      <c r="C430" s="6">
        <f t="shared" si="1"/>
        <v>4</v>
      </c>
    </row>
    <row r="431">
      <c r="A431" s="13">
        <v>44917.0</v>
      </c>
      <c r="B431" s="1">
        <v>1.904</v>
      </c>
      <c r="C431" s="6">
        <f t="shared" si="1"/>
        <v>0</v>
      </c>
    </row>
    <row r="432" hidden="1">
      <c r="A432" s="13">
        <v>44918.0</v>
      </c>
      <c r="B432" s="1">
        <v>1.907</v>
      </c>
      <c r="C432" s="6">
        <f t="shared" si="1"/>
        <v>1</v>
      </c>
    </row>
    <row r="433" hidden="1">
      <c r="A433" s="13">
        <v>44922.0</v>
      </c>
      <c r="B433" s="1">
        <v>1.906</v>
      </c>
      <c r="C433" s="6">
        <f t="shared" si="1"/>
        <v>2</v>
      </c>
    </row>
    <row r="434" hidden="1">
      <c r="A434" s="13">
        <v>44923.0</v>
      </c>
      <c r="B434" s="1">
        <v>1.906</v>
      </c>
      <c r="C434" s="6">
        <f t="shared" si="1"/>
        <v>3</v>
      </c>
    </row>
    <row r="435" hidden="1">
      <c r="A435" s="13">
        <v>44924.0</v>
      </c>
      <c r="B435" s="1">
        <v>1.905</v>
      </c>
      <c r="C435" s="6">
        <f t="shared" si="1"/>
        <v>4</v>
      </c>
    </row>
    <row r="436">
      <c r="A436" s="13">
        <v>44925.0</v>
      </c>
      <c r="B436" s="1">
        <v>1.89</v>
      </c>
      <c r="C436" s="6">
        <f t="shared" si="1"/>
        <v>0</v>
      </c>
    </row>
    <row r="437" hidden="1">
      <c r="A437" s="13">
        <v>44928.0</v>
      </c>
      <c r="B437" s="1">
        <v>1.906</v>
      </c>
      <c r="C437" s="6">
        <f t="shared" si="1"/>
        <v>1</v>
      </c>
    </row>
    <row r="438" hidden="1">
      <c r="A438" s="13">
        <v>44929.0</v>
      </c>
      <c r="B438" s="1">
        <v>1.904</v>
      </c>
      <c r="C438" s="6">
        <f t="shared" si="1"/>
        <v>2</v>
      </c>
    </row>
    <row r="439" hidden="1">
      <c r="A439" s="13">
        <v>44930.0</v>
      </c>
      <c r="B439" s="1">
        <v>1.904</v>
      </c>
      <c r="C439" s="6">
        <f t="shared" si="1"/>
        <v>3</v>
      </c>
    </row>
    <row r="440" hidden="1">
      <c r="A440" s="13">
        <v>44931.0</v>
      </c>
      <c r="B440" s="1">
        <v>1.9</v>
      </c>
      <c r="C440" s="6">
        <f t="shared" si="1"/>
        <v>4</v>
      </c>
    </row>
    <row r="441">
      <c r="A441" s="13">
        <v>44932.0</v>
      </c>
      <c r="B441" s="1">
        <v>1.898</v>
      </c>
      <c r="C441" s="6">
        <f t="shared" si="1"/>
        <v>0</v>
      </c>
    </row>
    <row r="442" hidden="1">
      <c r="A442" s="13">
        <v>44935.0</v>
      </c>
      <c r="B442" s="1">
        <v>1.9</v>
      </c>
      <c r="C442" s="6">
        <f t="shared" si="1"/>
        <v>1</v>
      </c>
    </row>
    <row r="443" hidden="1">
      <c r="A443" s="13">
        <v>44936.0</v>
      </c>
      <c r="B443" s="1">
        <v>1.9</v>
      </c>
      <c r="C443" s="6">
        <f t="shared" si="1"/>
        <v>2</v>
      </c>
    </row>
    <row r="444" hidden="1">
      <c r="A444" s="13">
        <v>44937.0</v>
      </c>
      <c r="B444" s="1">
        <v>1.9</v>
      </c>
      <c r="C444" s="6">
        <f t="shared" si="1"/>
        <v>3</v>
      </c>
    </row>
    <row r="445" hidden="1">
      <c r="A445" s="13">
        <v>44938.0</v>
      </c>
      <c r="B445" s="1">
        <v>1.9</v>
      </c>
      <c r="C445" s="6">
        <f t="shared" si="1"/>
        <v>4</v>
      </c>
    </row>
    <row r="446">
      <c r="A446" s="13">
        <v>44939.0</v>
      </c>
      <c r="B446" s="1">
        <v>1.901</v>
      </c>
      <c r="C446" s="6">
        <f t="shared" si="1"/>
        <v>0</v>
      </c>
    </row>
    <row r="447" hidden="1">
      <c r="A447" s="13">
        <v>44942.0</v>
      </c>
      <c r="B447" s="1">
        <v>1.902</v>
      </c>
      <c r="C447" s="6">
        <f t="shared" si="1"/>
        <v>1</v>
      </c>
    </row>
    <row r="448" hidden="1">
      <c r="A448" s="13">
        <v>44943.0</v>
      </c>
      <c r="B448" s="1">
        <v>1.901</v>
      </c>
      <c r="C448" s="6">
        <f t="shared" si="1"/>
        <v>2</v>
      </c>
    </row>
    <row r="449" hidden="1">
      <c r="A449" s="13">
        <v>44944.0</v>
      </c>
      <c r="B449" s="1">
        <v>1.902</v>
      </c>
      <c r="C449" s="6">
        <f t="shared" si="1"/>
        <v>3</v>
      </c>
    </row>
    <row r="450" hidden="1">
      <c r="A450" s="13">
        <v>44945.0</v>
      </c>
      <c r="B450" s="1">
        <v>1.903</v>
      </c>
      <c r="C450" s="6">
        <f t="shared" si="1"/>
        <v>4</v>
      </c>
    </row>
    <row r="451">
      <c r="A451" s="13">
        <v>44946.0</v>
      </c>
      <c r="B451" s="1">
        <v>1.903</v>
      </c>
      <c r="C451" s="6">
        <f t="shared" si="1"/>
        <v>0</v>
      </c>
    </row>
    <row r="452" hidden="1">
      <c r="A452" s="13">
        <v>44949.0</v>
      </c>
      <c r="B452" s="1">
        <v>1.902</v>
      </c>
      <c r="C452" s="6">
        <f t="shared" si="1"/>
        <v>1</v>
      </c>
    </row>
    <row r="453" hidden="1">
      <c r="A453" s="13">
        <v>44950.0</v>
      </c>
      <c r="B453" s="1">
        <v>1.904</v>
      </c>
      <c r="C453" s="6">
        <f t="shared" si="1"/>
        <v>2</v>
      </c>
    </row>
    <row r="454" hidden="1">
      <c r="A454" s="13">
        <v>44951.0</v>
      </c>
      <c r="B454" s="1">
        <v>1.904</v>
      </c>
      <c r="C454" s="6">
        <f t="shared" si="1"/>
        <v>3</v>
      </c>
    </row>
    <row r="455" hidden="1">
      <c r="A455" s="13">
        <v>44952.0</v>
      </c>
      <c r="B455" s="1">
        <v>1.904</v>
      </c>
      <c r="C455" s="6">
        <f t="shared" si="1"/>
        <v>4</v>
      </c>
    </row>
    <row r="456">
      <c r="A456" s="13">
        <v>44953.0</v>
      </c>
      <c r="B456" s="1">
        <v>1.906</v>
      </c>
      <c r="C456" s="6">
        <f t="shared" si="1"/>
        <v>0</v>
      </c>
    </row>
    <row r="457" hidden="1">
      <c r="A457" s="13">
        <v>44956.0</v>
      </c>
      <c r="B457" s="1">
        <v>1.904</v>
      </c>
      <c r="C457" s="6">
        <f t="shared" si="1"/>
        <v>1</v>
      </c>
    </row>
    <row r="458" hidden="1">
      <c r="A458" s="13">
        <v>44957.0</v>
      </c>
      <c r="B458" s="1">
        <v>1.894</v>
      </c>
      <c r="C458" s="6">
        <f t="shared" si="1"/>
        <v>2</v>
      </c>
    </row>
    <row r="459" hidden="1">
      <c r="A459" s="13">
        <v>44958.0</v>
      </c>
      <c r="B459" s="1">
        <v>1.901</v>
      </c>
      <c r="C459" s="6">
        <f t="shared" si="1"/>
        <v>3</v>
      </c>
    </row>
    <row r="460" hidden="1">
      <c r="A460" s="13">
        <v>44959.0</v>
      </c>
      <c r="B460" s="1">
        <v>1.902</v>
      </c>
      <c r="C460" s="6">
        <f t="shared" si="1"/>
        <v>4</v>
      </c>
    </row>
    <row r="461">
      <c r="A461" s="13">
        <v>44960.0</v>
      </c>
      <c r="B461" s="1">
        <v>1.898</v>
      </c>
      <c r="C461" s="6">
        <f t="shared" si="1"/>
        <v>0</v>
      </c>
    </row>
    <row r="462" hidden="1">
      <c r="A462" s="13">
        <v>44963.0</v>
      </c>
      <c r="B462" s="1">
        <v>1.901</v>
      </c>
      <c r="C462" s="6">
        <f t="shared" si="1"/>
        <v>1</v>
      </c>
    </row>
    <row r="463" hidden="1">
      <c r="A463" s="13">
        <v>44964.0</v>
      </c>
      <c r="B463" s="1">
        <v>1.902</v>
      </c>
      <c r="C463" s="6">
        <f t="shared" si="1"/>
        <v>2</v>
      </c>
    </row>
    <row r="464" hidden="1">
      <c r="A464" s="13">
        <v>44965.0</v>
      </c>
      <c r="B464" s="1">
        <v>2.401</v>
      </c>
      <c r="C464" s="6">
        <f t="shared" si="1"/>
        <v>3</v>
      </c>
    </row>
    <row r="465" hidden="1">
      <c r="A465" s="13">
        <v>44966.0</v>
      </c>
      <c r="B465" s="1">
        <v>2.401</v>
      </c>
      <c r="C465" s="6">
        <f t="shared" si="1"/>
        <v>4</v>
      </c>
    </row>
    <row r="466">
      <c r="A466" s="13">
        <v>44967.0</v>
      </c>
      <c r="B466" s="1">
        <v>2.401</v>
      </c>
      <c r="C466" s="6">
        <f t="shared" si="1"/>
        <v>0</v>
      </c>
    </row>
    <row r="467" hidden="1">
      <c r="A467" s="13">
        <v>44970.0</v>
      </c>
      <c r="B467" s="1">
        <v>2.4</v>
      </c>
      <c r="C467" s="6">
        <f t="shared" si="1"/>
        <v>1</v>
      </c>
    </row>
    <row r="468" hidden="1">
      <c r="A468" s="13">
        <v>44971.0</v>
      </c>
      <c r="B468" s="1">
        <v>2.4</v>
      </c>
      <c r="C468" s="6">
        <f t="shared" si="1"/>
        <v>2</v>
      </c>
    </row>
    <row r="469" hidden="1">
      <c r="A469" s="13">
        <v>44972.0</v>
      </c>
      <c r="B469" s="1">
        <v>2.405</v>
      </c>
      <c r="C469" s="6">
        <f t="shared" si="1"/>
        <v>3</v>
      </c>
    </row>
    <row r="470" hidden="1">
      <c r="A470" s="13">
        <v>44973.0</v>
      </c>
      <c r="B470" s="1">
        <v>2.4</v>
      </c>
      <c r="C470" s="6">
        <f t="shared" si="1"/>
        <v>4</v>
      </c>
    </row>
    <row r="471">
      <c r="A471" s="13">
        <v>44974.0</v>
      </c>
      <c r="B471" s="1">
        <v>2.398</v>
      </c>
      <c r="C471" s="6">
        <f t="shared" si="1"/>
        <v>0</v>
      </c>
    </row>
    <row r="472" hidden="1">
      <c r="A472" s="13">
        <v>44977.0</v>
      </c>
      <c r="B472" s="1">
        <v>2.4</v>
      </c>
      <c r="C472" s="6">
        <f t="shared" si="1"/>
        <v>1</v>
      </c>
    </row>
    <row r="473" hidden="1">
      <c r="A473" s="13">
        <v>44978.0</v>
      </c>
      <c r="B473" s="1">
        <v>2.398</v>
      </c>
      <c r="C473" s="6">
        <f t="shared" si="1"/>
        <v>2</v>
      </c>
    </row>
    <row r="474" hidden="1">
      <c r="A474" s="13">
        <v>44979.0</v>
      </c>
      <c r="B474" s="1">
        <v>2.399</v>
      </c>
      <c r="C474" s="6">
        <f t="shared" si="1"/>
        <v>3</v>
      </c>
    </row>
    <row r="475" hidden="1">
      <c r="A475" s="13">
        <v>44980.0</v>
      </c>
      <c r="B475" s="1">
        <v>2.399</v>
      </c>
      <c r="C475" s="6">
        <f t="shared" si="1"/>
        <v>4</v>
      </c>
    </row>
    <row r="476">
      <c r="A476" s="13">
        <v>44981.0</v>
      </c>
      <c r="B476" s="1">
        <v>2.398</v>
      </c>
      <c r="C476" s="6">
        <f t="shared" si="1"/>
        <v>0</v>
      </c>
    </row>
    <row r="477" hidden="1">
      <c r="A477" s="13">
        <v>44984.0</v>
      </c>
      <c r="B477" s="1">
        <v>2.398</v>
      </c>
      <c r="C477" s="6">
        <f t="shared" si="1"/>
        <v>1</v>
      </c>
    </row>
    <row r="478" hidden="1">
      <c r="A478" s="13">
        <v>44985.0</v>
      </c>
      <c r="B478" s="1">
        <v>2.388</v>
      </c>
      <c r="C478" s="6">
        <f t="shared" si="1"/>
        <v>2</v>
      </c>
    </row>
    <row r="479" hidden="1">
      <c r="A479" s="13">
        <v>44986.0</v>
      </c>
      <c r="B479" s="1">
        <v>2.398</v>
      </c>
      <c r="C479" s="6">
        <f t="shared" si="1"/>
        <v>3</v>
      </c>
    </row>
    <row r="480" hidden="1">
      <c r="A480" s="13">
        <v>44987.0</v>
      </c>
      <c r="B480" s="1">
        <v>2.399</v>
      </c>
      <c r="C480" s="6">
        <f t="shared" si="1"/>
        <v>4</v>
      </c>
    </row>
    <row r="481">
      <c r="A481" s="13">
        <v>44988.0</v>
      </c>
      <c r="B481" s="1">
        <v>2.4</v>
      </c>
      <c r="C481" s="6">
        <f t="shared" si="1"/>
        <v>0</v>
      </c>
    </row>
    <row r="482" hidden="1">
      <c r="A482" s="13">
        <v>44991.0</v>
      </c>
      <c r="B482" s="1">
        <v>2.399</v>
      </c>
      <c r="C482" s="6">
        <f t="shared" si="1"/>
        <v>1</v>
      </c>
    </row>
    <row r="483" hidden="1">
      <c r="A483" s="13">
        <v>44992.0</v>
      </c>
      <c r="B483" s="1">
        <v>2.398</v>
      </c>
      <c r="C483" s="6">
        <f t="shared" si="1"/>
        <v>2</v>
      </c>
    </row>
    <row r="484" hidden="1">
      <c r="A484" s="13">
        <v>44993.0</v>
      </c>
      <c r="B484" s="1">
        <v>2.399</v>
      </c>
      <c r="C484" s="6">
        <f t="shared" si="1"/>
        <v>3</v>
      </c>
    </row>
    <row r="485" hidden="1">
      <c r="A485" s="13">
        <v>44994.0</v>
      </c>
      <c r="B485" s="1">
        <v>2.401</v>
      </c>
      <c r="C485" s="6">
        <f t="shared" si="1"/>
        <v>4</v>
      </c>
    </row>
    <row r="486">
      <c r="A486" s="13">
        <v>44995.0</v>
      </c>
      <c r="B486" s="1">
        <v>2.403</v>
      </c>
      <c r="C486" s="6">
        <f t="shared" si="1"/>
        <v>0</v>
      </c>
    </row>
    <row r="487" hidden="1">
      <c r="A487" s="13">
        <v>44998.0</v>
      </c>
      <c r="B487" s="1">
        <v>2.401</v>
      </c>
      <c r="C487" s="6">
        <f t="shared" si="1"/>
        <v>1</v>
      </c>
    </row>
    <row r="488" hidden="1">
      <c r="A488" s="13">
        <v>44999.0</v>
      </c>
      <c r="B488" s="1">
        <v>2.401</v>
      </c>
      <c r="C488" s="6">
        <f t="shared" si="1"/>
        <v>2</v>
      </c>
    </row>
    <row r="489" hidden="1">
      <c r="A489" s="13">
        <v>45000.0</v>
      </c>
      <c r="B489" s="1">
        <v>2.4</v>
      </c>
      <c r="C489" s="6">
        <f t="shared" si="1"/>
        <v>3</v>
      </c>
    </row>
    <row r="490" hidden="1">
      <c r="A490" s="13">
        <v>45001.0</v>
      </c>
      <c r="B490" s="1">
        <v>2.399</v>
      </c>
      <c r="C490" s="6">
        <f t="shared" si="1"/>
        <v>4</v>
      </c>
    </row>
    <row r="491">
      <c r="A491" s="13">
        <v>45002.0</v>
      </c>
      <c r="B491" s="1">
        <v>2.402</v>
      </c>
      <c r="C491" s="6">
        <f t="shared" si="1"/>
        <v>0</v>
      </c>
    </row>
    <row r="492" hidden="1">
      <c r="A492" s="13">
        <v>45005.0</v>
      </c>
      <c r="B492" s="1">
        <v>2.398</v>
      </c>
      <c r="C492" s="6">
        <f t="shared" si="1"/>
        <v>1</v>
      </c>
    </row>
    <row r="493" hidden="1">
      <c r="A493" s="13">
        <v>45006.0</v>
      </c>
      <c r="B493" s="1">
        <v>2.399</v>
      </c>
      <c r="C493" s="6">
        <f t="shared" si="1"/>
        <v>2</v>
      </c>
    </row>
    <row r="494" hidden="1">
      <c r="A494" s="13">
        <v>45007.0</v>
      </c>
      <c r="B494" s="1">
        <v>2.898</v>
      </c>
      <c r="C494" s="6">
        <f t="shared" si="1"/>
        <v>3</v>
      </c>
    </row>
    <row r="495" hidden="1">
      <c r="A495" s="13">
        <v>45008.0</v>
      </c>
      <c r="B495" s="1">
        <v>2.899</v>
      </c>
      <c r="C495" s="6">
        <f t="shared" si="1"/>
        <v>4</v>
      </c>
    </row>
    <row r="496">
      <c r="A496" s="13">
        <v>45009.0</v>
      </c>
      <c r="B496" s="1">
        <v>2.899</v>
      </c>
      <c r="C496" s="6">
        <f t="shared" si="1"/>
        <v>0</v>
      </c>
    </row>
    <row r="497" hidden="1">
      <c r="A497" s="13">
        <v>45012.0</v>
      </c>
      <c r="B497" s="1">
        <v>2.898</v>
      </c>
      <c r="C497" s="6">
        <f t="shared" si="1"/>
        <v>1</v>
      </c>
    </row>
    <row r="498" hidden="1">
      <c r="A498" s="13">
        <v>45013.0</v>
      </c>
      <c r="B498" s="1">
        <v>2.894</v>
      </c>
      <c r="C498" s="6">
        <f t="shared" si="1"/>
        <v>2</v>
      </c>
    </row>
    <row r="499" hidden="1">
      <c r="A499" s="13">
        <v>45014.0</v>
      </c>
      <c r="B499" s="1">
        <v>2.894</v>
      </c>
      <c r="C499" s="6">
        <f t="shared" si="1"/>
        <v>3</v>
      </c>
    </row>
    <row r="500" hidden="1">
      <c r="A500" s="13">
        <v>45015.0</v>
      </c>
      <c r="B500" s="1">
        <v>2.896</v>
      </c>
      <c r="C500" s="6">
        <f t="shared" si="1"/>
        <v>4</v>
      </c>
    </row>
    <row r="501">
      <c r="A501" s="13">
        <v>45016.0</v>
      </c>
      <c r="B501" s="1">
        <v>2.884</v>
      </c>
      <c r="C501" s="6">
        <f t="shared" si="1"/>
        <v>0</v>
      </c>
    </row>
    <row r="502" hidden="1">
      <c r="A502" s="13">
        <v>45019.0</v>
      </c>
      <c r="B502" s="1">
        <v>2.898</v>
      </c>
      <c r="C502" s="6">
        <f t="shared" si="1"/>
        <v>1</v>
      </c>
    </row>
    <row r="503" hidden="1">
      <c r="A503" s="13">
        <v>45020.0</v>
      </c>
      <c r="B503" s="1">
        <v>2.898</v>
      </c>
      <c r="C503" s="6">
        <f t="shared" si="1"/>
        <v>2</v>
      </c>
    </row>
    <row r="504" hidden="1">
      <c r="A504" s="13">
        <v>45021.0</v>
      </c>
      <c r="B504" s="1">
        <v>2.902</v>
      </c>
      <c r="C504" s="6">
        <f t="shared" si="1"/>
        <v>3</v>
      </c>
    </row>
    <row r="505" hidden="1">
      <c r="A505" s="13">
        <v>45022.0</v>
      </c>
      <c r="B505" s="1">
        <v>2.903</v>
      </c>
      <c r="C505" s="6">
        <f t="shared" si="1"/>
        <v>4</v>
      </c>
    </row>
    <row r="506">
      <c r="A506" s="13">
        <v>45027.0</v>
      </c>
      <c r="B506" s="1">
        <v>2.897</v>
      </c>
      <c r="C506" s="6">
        <f t="shared" si="1"/>
        <v>0</v>
      </c>
    </row>
    <row r="507" hidden="1">
      <c r="A507" s="13">
        <v>45028.0</v>
      </c>
      <c r="B507" s="1">
        <v>2.898</v>
      </c>
      <c r="C507" s="6">
        <f t="shared" si="1"/>
        <v>1</v>
      </c>
    </row>
    <row r="508" hidden="1">
      <c r="A508" s="13">
        <v>45029.0</v>
      </c>
      <c r="B508" s="1">
        <v>2.899</v>
      </c>
      <c r="C508" s="6">
        <f t="shared" si="1"/>
        <v>2</v>
      </c>
    </row>
    <row r="509" hidden="1">
      <c r="A509" s="13">
        <v>45030.0</v>
      </c>
      <c r="B509" s="1">
        <v>2.896</v>
      </c>
      <c r="C509" s="6">
        <f t="shared" si="1"/>
        <v>3</v>
      </c>
    </row>
    <row r="510" hidden="1">
      <c r="A510" s="13">
        <v>45033.0</v>
      </c>
      <c r="B510" s="1">
        <v>2.897</v>
      </c>
      <c r="C510" s="6">
        <f t="shared" si="1"/>
        <v>4</v>
      </c>
    </row>
    <row r="511">
      <c r="A511" s="13">
        <v>45034.0</v>
      </c>
      <c r="B511" s="1">
        <v>2.901</v>
      </c>
      <c r="C511" s="6">
        <f t="shared" si="1"/>
        <v>0</v>
      </c>
    </row>
    <row r="512" hidden="1">
      <c r="A512" s="13">
        <v>45035.0</v>
      </c>
      <c r="B512" s="1">
        <v>2.902</v>
      </c>
      <c r="C512" s="6">
        <f t="shared" si="1"/>
        <v>1</v>
      </c>
    </row>
    <row r="513" hidden="1">
      <c r="A513" s="13">
        <v>45036.0</v>
      </c>
      <c r="B513" s="1">
        <v>2.904</v>
      </c>
      <c r="C513" s="6">
        <f t="shared" si="1"/>
        <v>2</v>
      </c>
    </row>
    <row r="514" hidden="1">
      <c r="A514" s="13">
        <v>45037.0</v>
      </c>
      <c r="B514" s="1">
        <v>2.902</v>
      </c>
      <c r="C514" s="6">
        <f t="shared" si="1"/>
        <v>3</v>
      </c>
    </row>
    <row r="515" hidden="1">
      <c r="A515" s="13">
        <v>45040.0</v>
      </c>
      <c r="B515" s="1">
        <v>2.905</v>
      </c>
      <c r="C515" s="6">
        <f t="shared" si="1"/>
        <v>4</v>
      </c>
    </row>
    <row r="516">
      <c r="A516" s="13">
        <v>45041.0</v>
      </c>
      <c r="B516" s="1">
        <v>2.901</v>
      </c>
      <c r="C516" s="6">
        <f t="shared" si="1"/>
        <v>0</v>
      </c>
    </row>
    <row r="517" hidden="1">
      <c r="A517" s="13">
        <v>45042.0</v>
      </c>
      <c r="B517" s="1">
        <v>2.9</v>
      </c>
      <c r="C517" s="6">
        <f t="shared" si="1"/>
        <v>1</v>
      </c>
    </row>
    <row r="518" hidden="1">
      <c r="A518" s="13">
        <v>45043.0</v>
      </c>
      <c r="B518" s="1">
        <v>2.9</v>
      </c>
      <c r="C518" s="6">
        <f t="shared" si="1"/>
        <v>2</v>
      </c>
    </row>
    <row r="519" hidden="1">
      <c r="A519" s="13">
        <v>45044.0</v>
      </c>
      <c r="B519" s="1">
        <v>2.894</v>
      </c>
      <c r="C519" s="6">
        <f t="shared" si="1"/>
        <v>3</v>
      </c>
    </row>
    <row r="520" hidden="1">
      <c r="A520" s="13">
        <v>45048.0</v>
      </c>
      <c r="B520" s="1">
        <v>2.896</v>
      </c>
      <c r="C520" s="6">
        <f t="shared" si="1"/>
        <v>4</v>
      </c>
    </row>
    <row r="521">
      <c r="A521" s="13">
        <v>45049.0</v>
      </c>
      <c r="B521" s="1">
        <v>2.896</v>
      </c>
      <c r="C521" s="6">
        <f t="shared" si="1"/>
        <v>0</v>
      </c>
    </row>
    <row r="522" hidden="1">
      <c r="A522" s="13">
        <v>45050.0</v>
      </c>
      <c r="B522" s="1">
        <v>2.897</v>
      </c>
      <c r="C522" s="6">
        <f t="shared" si="1"/>
        <v>1</v>
      </c>
    </row>
    <row r="523" hidden="1">
      <c r="A523" s="13">
        <v>45051.0</v>
      </c>
      <c r="B523" s="1">
        <v>2.898</v>
      </c>
      <c r="C523" s="6">
        <f t="shared" si="1"/>
        <v>2</v>
      </c>
    </row>
    <row r="524" hidden="1">
      <c r="A524" s="13">
        <v>45054.0</v>
      </c>
      <c r="B524" s="1">
        <v>2.892</v>
      </c>
      <c r="C524" s="6">
        <f t="shared" si="1"/>
        <v>3</v>
      </c>
    </row>
    <row r="525" hidden="1">
      <c r="A525" s="13">
        <v>45055.0</v>
      </c>
      <c r="B525" s="1">
        <v>2.894</v>
      </c>
      <c r="C525" s="6">
        <f t="shared" si="1"/>
        <v>4</v>
      </c>
    </row>
    <row r="526">
      <c r="A526" s="13">
        <v>45056.0</v>
      </c>
      <c r="B526" s="1">
        <v>3.145</v>
      </c>
      <c r="C526" s="6">
        <f t="shared" si="1"/>
        <v>0</v>
      </c>
    </row>
    <row r="527" hidden="1">
      <c r="A527" s="13">
        <v>45057.0</v>
      </c>
      <c r="B527" s="1">
        <v>3.145</v>
      </c>
      <c r="C527" s="6">
        <f t="shared" si="1"/>
        <v>1</v>
      </c>
    </row>
    <row r="528" hidden="1">
      <c r="A528" s="13">
        <v>45058.0</v>
      </c>
      <c r="B528" s="1">
        <v>3.148</v>
      </c>
      <c r="C528" s="6">
        <f t="shared" si="1"/>
        <v>2</v>
      </c>
    </row>
    <row r="529" hidden="1">
      <c r="A529" s="13">
        <v>45061.0</v>
      </c>
      <c r="B529" s="1">
        <v>3.145</v>
      </c>
      <c r="C529" s="6">
        <f t="shared" si="1"/>
        <v>3</v>
      </c>
    </row>
    <row r="530" hidden="1">
      <c r="A530" s="13">
        <v>45062.0</v>
      </c>
      <c r="B530" s="1">
        <v>3.147</v>
      </c>
      <c r="C530" s="6">
        <f t="shared" si="1"/>
        <v>4</v>
      </c>
    </row>
    <row r="531">
      <c r="A531" s="13">
        <v>45063.0</v>
      </c>
      <c r="B531" s="1">
        <v>3.151</v>
      </c>
      <c r="C531" s="6">
        <f t="shared" si="1"/>
        <v>0</v>
      </c>
    </row>
    <row r="532" hidden="1">
      <c r="A532" s="13">
        <v>45064.0</v>
      </c>
      <c r="B532" s="1">
        <v>3.153</v>
      </c>
      <c r="C532" s="6">
        <f t="shared" si="1"/>
        <v>1</v>
      </c>
    </row>
    <row r="533" hidden="1">
      <c r="A533" s="13">
        <v>45065.0</v>
      </c>
      <c r="B533" s="1">
        <v>3.151</v>
      </c>
      <c r="C533" s="6">
        <f t="shared" si="1"/>
        <v>2</v>
      </c>
    </row>
    <row r="534" hidden="1">
      <c r="A534" s="13">
        <v>45068.0</v>
      </c>
      <c r="B534" s="1">
        <v>3.15</v>
      </c>
      <c r="C534" s="6">
        <f t="shared" si="1"/>
        <v>3</v>
      </c>
    </row>
    <row r="535" hidden="1">
      <c r="A535" s="13">
        <v>45069.0</v>
      </c>
      <c r="B535" s="1">
        <v>3.157</v>
      </c>
      <c r="C535" s="6">
        <f t="shared" si="1"/>
        <v>4</v>
      </c>
    </row>
    <row r="536">
      <c r="A536" s="13">
        <v>45070.0</v>
      </c>
      <c r="B536" s="1">
        <v>3.148</v>
      </c>
      <c r="C536" s="6">
        <f t="shared" si="1"/>
        <v>0</v>
      </c>
    </row>
    <row r="537" hidden="1">
      <c r="A537" s="13">
        <v>45071.0</v>
      </c>
      <c r="B537" s="1">
        <v>3.148</v>
      </c>
      <c r="C537" s="6">
        <f t="shared" si="1"/>
        <v>1</v>
      </c>
    </row>
    <row r="538" hidden="1">
      <c r="A538" s="13">
        <v>45072.0</v>
      </c>
      <c r="B538" s="1">
        <v>3.152</v>
      </c>
      <c r="C538" s="6">
        <f t="shared" si="1"/>
        <v>2</v>
      </c>
    </row>
    <row r="539" hidden="1">
      <c r="A539" s="13">
        <v>45075.0</v>
      </c>
      <c r="B539" s="1">
        <v>3.147</v>
      </c>
      <c r="C539" s="6">
        <f t="shared" si="1"/>
        <v>3</v>
      </c>
    </row>
    <row r="540" hidden="1">
      <c r="A540" s="13">
        <v>45076.0</v>
      </c>
      <c r="B540" s="1">
        <v>3.148</v>
      </c>
      <c r="C540" s="6">
        <f t="shared" si="1"/>
        <v>4</v>
      </c>
    </row>
    <row r="541">
      <c r="A541" s="13">
        <v>45077.0</v>
      </c>
      <c r="B541" s="1">
        <v>3.144</v>
      </c>
      <c r="C541" s="6">
        <f t="shared" si="1"/>
        <v>0</v>
      </c>
    </row>
    <row r="542" hidden="1">
      <c r="A542" s="13">
        <v>45078.0</v>
      </c>
      <c r="B542" s="1">
        <v>3.147</v>
      </c>
      <c r="C542" s="6">
        <f t="shared" si="1"/>
        <v>1</v>
      </c>
    </row>
    <row r="543" hidden="1">
      <c r="A543" s="13">
        <v>45079.0</v>
      </c>
      <c r="B543" s="1">
        <v>3.148</v>
      </c>
      <c r="C543" s="6">
        <f t="shared" si="1"/>
        <v>2</v>
      </c>
    </row>
    <row r="544" hidden="1">
      <c r="A544" s="13">
        <v>45082.0</v>
      </c>
      <c r="B544" s="1">
        <v>3.148</v>
      </c>
      <c r="C544" s="6">
        <f t="shared" si="1"/>
        <v>3</v>
      </c>
    </row>
    <row r="545" hidden="1">
      <c r="A545" s="13">
        <v>45083.0</v>
      </c>
      <c r="B545" s="1">
        <v>3.145</v>
      </c>
      <c r="C545" s="6">
        <f t="shared" si="1"/>
        <v>4</v>
      </c>
    </row>
    <row r="546">
      <c r="A546" s="13">
        <v>45084.0</v>
      </c>
      <c r="B546" s="1">
        <v>3.144</v>
      </c>
      <c r="C546" s="6">
        <f t="shared" si="1"/>
        <v>0</v>
      </c>
    </row>
    <row r="547" hidden="1">
      <c r="A547" s="13">
        <v>45085.0</v>
      </c>
      <c r="B547" s="1">
        <v>3.146</v>
      </c>
      <c r="C547" s="6">
        <f t="shared" si="1"/>
        <v>1</v>
      </c>
    </row>
    <row r="548" hidden="1">
      <c r="A548" s="13">
        <v>45086.0</v>
      </c>
      <c r="B548" s="1">
        <v>3.147</v>
      </c>
      <c r="C548" s="6">
        <f t="shared" si="1"/>
        <v>2</v>
      </c>
    </row>
    <row r="549" hidden="1">
      <c r="A549" s="13">
        <v>45089.0</v>
      </c>
      <c r="B549" s="1">
        <v>3.147</v>
      </c>
      <c r="C549" s="6">
        <f t="shared" si="1"/>
        <v>3</v>
      </c>
    </row>
    <row r="550" hidden="1">
      <c r="A550" s="13">
        <v>45090.0</v>
      </c>
      <c r="B550" s="1">
        <v>3.147</v>
      </c>
      <c r="C550" s="6">
        <f t="shared" si="1"/>
        <v>4</v>
      </c>
    </row>
    <row r="551">
      <c r="A551" s="13">
        <v>45091.0</v>
      </c>
      <c r="B551" s="1">
        <v>3.15</v>
      </c>
      <c r="C551" s="6">
        <f t="shared" si="1"/>
        <v>0</v>
      </c>
    </row>
    <row r="552" hidden="1">
      <c r="A552" s="13">
        <v>45092.0</v>
      </c>
      <c r="B552" s="1">
        <v>3.147</v>
      </c>
      <c r="C552" s="6">
        <f t="shared" si="1"/>
        <v>1</v>
      </c>
    </row>
    <row r="553" hidden="1">
      <c r="A553" s="13">
        <v>45093.0</v>
      </c>
      <c r="B553" s="1">
        <v>3.144</v>
      </c>
      <c r="C553" s="6">
        <f t="shared" si="1"/>
        <v>2</v>
      </c>
    </row>
    <row r="554" hidden="1">
      <c r="A554" s="13">
        <v>45096.0</v>
      </c>
      <c r="B554" s="1">
        <v>3.144</v>
      </c>
      <c r="C554" s="6">
        <f t="shared" si="1"/>
        <v>3</v>
      </c>
    </row>
    <row r="555" hidden="1">
      <c r="A555" s="13">
        <v>45097.0</v>
      </c>
      <c r="B555" s="1">
        <v>3.144</v>
      </c>
      <c r="C555" s="6">
        <f t="shared" si="1"/>
        <v>4</v>
      </c>
    </row>
    <row r="556">
      <c r="A556" s="13">
        <v>45098.0</v>
      </c>
      <c r="B556" s="1">
        <v>3.395</v>
      </c>
      <c r="C556" s="6">
        <f t="shared" si="1"/>
        <v>0</v>
      </c>
    </row>
    <row r="557" hidden="1">
      <c r="A557" s="13">
        <v>45099.0</v>
      </c>
      <c r="B557" s="1">
        <v>3.397</v>
      </c>
      <c r="C557" s="6">
        <f t="shared" si="1"/>
        <v>1</v>
      </c>
    </row>
    <row r="558" hidden="1">
      <c r="A558" s="13">
        <v>45100.0</v>
      </c>
      <c r="B558" s="1">
        <v>3.4</v>
      </c>
      <c r="C558" s="6">
        <f t="shared" si="1"/>
        <v>2</v>
      </c>
    </row>
    <row r="559" hidden="1">
      <c r="A559" s="13">
        <v>45103.0</v>
      </c>
      <c r="B559" s="1">
        <v>3.4</v>
      </c>
      <c r="C559" s="6">
        <f t="shared" si="1"/>
        <v>3</v>
      </c>
    </row>
    <row r="560" hidden="1">
      <c r="A560" s="13">
        <v>45104.0</v>
      </c>
      <c r="B560" s="1">
        <v>3.397</v>
      </c>
      <c r="C560" s="6">
        <f t="shared" si="1"/>
        <v>4</v>
      </c>
    </row>
    <row r="561">
      <c r="A561" s="13">
        <v>45105.0</v>
      </c>
      <c r="B561" s="1">
        <v>3.4</v>
      </c>
      <c r="C561" s="6">
        <f t="shared" si="1"/>
        <v>0</v>
      </c>
    </row>
    <row r="562" hidden="1">
      <c r="A562" s="13">
        <v>45106.0</v>
      </c>
      <c r="B562" s="1">
        <v>3.4</v>
      </c>
      <c r="C562" s="6">
        <f t="shared" si="1"/>
        <v>1</v>
      </c>
    </row>
    <row r="563" hidden="1">
      <c r="A563" s="13">
        <v>45107.0</v>
      </c>
      <c r="B563" s="1">
        <v>3.4</v>
      </c>
      <c r="C563" s="6">
        <f t="shared" si="1"/>
        <v>2</v>
      </c>
    </row>
    <row r="564" hidden="1">
      <c r="A564" s="13">
        <v>45110.0</v>
      </c>
      <c r="B564" s="1">
        <v>3.399</v>
      </c>
      <c r="C564" s="6">
        <f t="shared" si="1"/>
        <v>3</v>
      </c>
    </row>
    <row r="565" hidden="1">
      <c r="A565" s="13">
        <v>45111.0</v>
      </c>
      <c r="B565" s="1">
        <v>3.401</v>
      </c>
      <c r="C565" s="6">
        <f t="shared" si="1"/>
        <v>4</v>
      </c>
    </row>
    <row r="566">
      <c r="A566" s="13">
        <v>45112.0</v>
      </c>
      <c r="B566" s="1">
        <v>3.404</v>
      </c>
      <c r="C566" s="6">
        <f t="shared" si="1"/>
        <v>0</v>
      </c>
    </row>
    <row r="567" hidden="1">
      <c r="A567" s="13">
        <v>45113.0</v>
      </c>
      <c r="B567" s="1">
        <v>3.406</v>
      </c>
      <c r="C567" s="6">
        <f t="shared" si="1"/>
        <v>1</v>
      </c>
    </row>
    <row r="568" hidden="1">
      <c r="A568" s="13">
        <v>45114.0</v>
      </c>
      <c r="B568" s="1">
        <v>3.406</v>
      </c>
      <c r="C568" s="6">
        <f t="shared" si="1"/>
        <v>2</v>
      </c>
    </row>
    <row r="569" hidden="1">
      <c r="A569" s="13">
        <v>45117.0</v>
      </c>
      <c r="B569" s="1">
        <v>3.402</v>
      </c>
      <c r="C569" s="6">
        <f t="shared" si="1"/>
        <v>3</v>
      </c>
    </row>
    <row r="570" hidden="1">
      <c r="A570" s="13">
        <v>45118.0</v>
      </c>
      <c r="B570" s="1">
        <v>3.404</v>
      </c>
      <c r="C570" s="6">
        <f t="shared" si="1"/>
        <v>4</v>
      </c>
    </row>
    <row r="571">
      <c r="A571" s="13">
        <v>45119.0</v>
      </c>
      <c r="B571" s="1">
        <v>3.404</v>
      </c>
      <c r="C571" s="6">
        <f t="shared" si="1"/>
        <v>0</v>
      </c>
    </row>
    <row r="572" hidden="1">
      <c r="A572" s="13">
        <v>45120.0</v>
      </c>
      <c r="B572" s="1">
        <v>3.401</v>
      </c>
      <c r="C572" s="6">
        <f t="shared" si="1"/>
        <v>1</v>
      </c>
    </row>
    <row r="573" hidden="1">
      <c r="A573" s="13">
        <v>45121.0</v>
      </c>
      <c r="B573" s="1">
        <v>3.402</v>
      </c>
      <c r="C573" s="6">
        <f t="shared" si="1"/>
        <v>2</v>
      </c>
    </row>
    <row r="574" hidden="1">
      <c r="A574" s="13">
        <v>45124.0</v>
      </c>
      <c r="B574" s="1">
        <v>3.4</v>
      </c>
      <c r="C574" s="6">
        <f t="shared" si="1"/>
        <v>3</v>
      </c>
    </row>
    <row r="575" hidden="1">
      <c r="A575" s="13">
        <v>45125.0</v>
      </c>
      <c r="B575" s="1">
        <v>3.399</v>
      </c>
      <c r="C575" s="6">
        <f t="shared" si="1"/>
        <v>4</v>
      </c>
    </row>
    <row r="576">
      <c r="A576" s="13">
        <v>45126.0</v>
      </c>
      <c r="B576" s="1">
        <v>3.4</v>
      </c>
      <c r="C576" s="6">
        <f t="shared" si="1"/>
        <v>0</v>
      </c>
    </row>
    <row r="577" hidden="1">
      <c r="A577" s="13">
        <v>45127.0</v>
      </c>
      <c r="B577" s="1">
        <v>3.403</v>
      </c>
      <c r="C577" s="6">
        <f t="shared" si="1"/>
        <v>1</v>
      </c>
    </row>
    <row r="578" hidden="1">
      <c r="A578" s="13">
        <v>45128.0</v>
      </c>
      <c r="B578" s="1">
        <v>3.404</v>
      </c>
      <c r="C578" s="6">
        <f t="shared" si="1"/>
        <v>2</v>
      </c>
    </row>
    <row r="579" hidden="1">
      <c r="A579" s="13">
        <v>45131.0</v>
      </c>
      <c r="B579" s="1">
        <v>3.405</v>
      </c>
      <c r="C579" s="6">
        <f t="shared" si="1"/>
        <v>3</v>
      </c>
    </row>
    <row r="580" hidden="1">
      <c r="A580" s="13">
        <v>45132.0</v>
      </c>
      <c r="B580" s="1">
        <v>3.405</v>
      </c>
      <c r="C580" s="6">
        <f t="shared" si="1"/>
        <v>4</v>
      </c>
    </row>
    <row r="581">
      <c r="A581" s="13">
        <v>45133.0</v>
      </c>
      <c r="B581" s="1">
        <v>3.402</v>
      </c>
      <c r="C581" s="6">
        <f t="shared" si="1"/>
        <v>0</v>
      </c>
    </row>
    <row r="582" hidden="1">
      <c r="A582" s="13">
        <v>45134.0</v>
      </c>
      <c r="B582" s="1">
        <v>3.403</v>
      </c>
      <c r="C582" s="6">
        <f t="shared" si="1"/>
        <v>1</v>
      </c>
    </row>
    <row r="583" hidden="1">
      <c r="A583" s="13">
        <v>45135.0</v>
      </c>
      <c r="B583" s="1">
        <v>3.404</v>
      </c>
      <c r="C583" s="6">
        <f t="shared" si="1"/>
        <v>2</v>
      </c>
    </row>
    <row r="584" hidden="1">
      <c r="A584" s="13">
        <v>45138.0</v>
      </c>
      <c r="B584" s="1">
        <v>3.392</v>
      </c>
      <c r="C584" s="6">
        <f t="shared" si="1"/>
        <v>3</v>
      </c>
    </row>
    <row r="585" hidden="1">
      <c r="A585" s="13">
        <v>45139.0</v>
      </c>
      <c r="B585" s="1">
        <v>3.404</v>
      </c>
      <c r="C585" s="6">
        <f t="shared" si="1"/>
        <v>4</v>
      </c>
    </row>
    <row r="586">
      <c r="A586" s="13">
        <v>45140.0</v>
      </c>
      <c r="B586" s="1">
        <v>3.655</v>
      </c>
      <c r="C586" s="6">
        <f t="shared" si="1"/>
        <v>0</v>
      </c>
    </row>
    <row r="587" hidden="1">
      <c r="A587" s="13">
        <v>45141.0</v>
      </c>
      <c r="B587" s="1">
        <v>3.653</v>
      </c>
      <c r="C587" s="6">
        <f t="shared" si="1"/>
        <v>1</v>
      </c>
    </row>
    <row r="588" hidden="1">
      <c r="A588" s="13">
        <v>45142.0</v>
      </c>
      <c r="B588" s="1">
        <v>3.653</v>
      </c>
      <c r="C588" s="6">
        <f t="shared" si="1"/>
        <v>2</v>
      </c>
    </row>
    <row r="589" hidden="1">
      <c r="A589" s="13">
        <v>45145.0</v>
      </c>
      <c r="B589" s="1">
        <v>3.653</v>
      </c>
      <c r="C589" s="6">
        <f t="shared" si="1"/>
        <v>3</v>
      </c>
    </row>
    <row r="590" hidden="1">
      <c r="A590" s="13">
        <v>45146.0</v>
      </c>
      <c r="B590" s="1">
        <v>3.652</v>
      </c>
      <c r="C590" s="6">
        <f t="shared" si="1"/>
        <v>4</v>
      </c>
    </row>
    <row r="591">
      <c r="A591" s="13">
        <v>45147.0</v>
      </c>
      <c r="B591" s="1">
        <v>3.649</v>
      </c>
      <c r="C591" s="6">
        <f t="shared" si="1"/>
        <v>0</v>
      </c>
    </row>
    <row r="592" hidden="1">
      <c r="A592" s="13">
        <v>45148.0</v>
      </c>
      <c r="B592" s="1">
        <v>3.652</v>
      </c>
      <c r="C592" s="6">
        <f t="shared" si="1"/>
        <v>1</v>
      </c>
    </row>
    <row r="593" hidden="1">
      <c r="A593" s="13">
        <v>45149.0</v>
      </c>
      <c r="B593" s="1">
        <v>3.653</v>
      </c>
      <c r="C593" s="6">
        <f t="shared" si="1"/>
        <v>2</v>
      </c>
    </row>
    <row r="594" hidden="1">
      <c r="A594" s="13">
        <v>45152.0</v>
      </c>
      <c r="B594" s="1">
        <v>3.656</v>
      </c>
      <c r="C594" s="6">
        <f t="shared" si="1"/>
        <v>3</v>
      </c>
    </row>
    <row r="595" hidden="1">
      <c r="A595" s="13">
        <v>45153.0</v>
      </c>
      <c r="B595" s="1">
        <v>3.657</v>
      </c>
      <c r="C595" s="6">
        <f t="shared" si="1"/>
        <v>4</v>
      </c>
    </row>
    <row r="596">
      <c r="A596" s="13">
        <v>45154.0</v>
      </c>
      <c r="B596" s="1">
        <v>3.654</v>
      </c>
      <c r="C596" s="6">
        <f t="shared" si="1"/>
        <v>0</v>
      </c>
    </row>
    <row r="597" hidden="1">
      <c r="A597" s="13">
        <v>45155.0</v>
      </c>
      <c r="B597" s="1">
        <v>3.654</v>
      </c>
      <c r="C597" s="6">
        <f t="shared" si="1"/>
        <v>1</v>
      </c>
    </row>
    <row r="598" hidden="1">
      <c r="A598" s="13">
        <v>45156.0</v>
      </c>
      <c r="B598" s="1">
        <v>3.655</v>
      </c>
      <c r="C598" s="6">
        <f t="shared" si="1"/>
        <v>2</v>
      </c>
    </row>
    <row r="599" hidden="1">
      <c r="A599" s="13">
        <v>45159.0</v>
      </c>
      <c r="B599" s="1">
        <v>3.654</v>
      </c>
      <c r="C599" s="6">
        <f t="shared" si="1"/>
        <v>3</v>
      </c>
    </row>
    <row r="600" hidden="1">
      <c r="A600" s="13">
        <v>45160.0</v>
      </c>
      <c r="B600" s="1">
        <v>3.655</v>
      </c>
      <c r="C600" s="6">
        <f t="shared" si="1"/>
        <v>4</v>
      </c>
    </row>
    <row r="601">
      <c r="A601" s="13">
        <v>45161.0</v>
      </c>
      <c r="B601" s="1">
        <v>3.652</v>
      </c>
      <c r="C601" s="6">
        <f t="shared" si="1"/>
        <v>0</v>
      </c>
    </row>
    <row r="602" hidden="1">
      <c r="A602" s="13">
        <v>45162.0</v>
      </c>
      <c r="B602" s="1">
        <v>3.649</v>
      </c>
      <c r="C602" s="6">
        <f t="shared" si="1"/>
        <v>1</v>
      </c>
    </row>
    <row r="603" hidden="1">
      <c r="A603" s="13">
        <v>45163.0</v>
      </c>
      <c r="B603" s="1">
        <v>3.652</v>
      </c>
      <c r="C603" s="6">
        <f t="shared" si="1"/>
        <v>2</v>
      </c>
    </row>
    <row r="604" hidden="1">
      <c r="A604" s="13">
        <v>45166.0</v>
      </c>
      <c r="B604" s="1">
        <v>3.651</v>
      </c>
      <c r="C604" s="6">
        <f t="shared" si="1"/>
        <v>3</v>
      </c>
    </row>
    <row r="605" hidden="1">
      <c r="A605" s="13">
        <v>45167.0</v>
      </c>
      <c r="B605" s="1">
        <v>3.652</v>
      </c>
      <c r="C605" s="6">
        <f t="shared" si="1"/>
        <v>4</v>
      </c>
    </row>
    <row r="606">
      <c r="A606" s="13">
        <v>45168.0</v>
      </c>
      <c r="B606" s="1">
        <v>3.652</v>
      </c>
      <c r="C606" s="6">
        <f t="shared" si="1"/>
        <v>0</v>
      </c>
    </row>
    <row r="607" hidden="1">
      <c r="A607" s="13">
        <v>45169.0</v>
      </c>
      <c r="B607" s="1">
        <v>3.646</v>
      </c>
      <c r="C607" s="6">
        <f t="shared" si="1"/>
        <v>1</v>
      </c>
    </row>
    <row r="608" hidden="1">
      <c r="A608" s="13">
        <v>45170.0</v>
      </c>
      <c r="B608" s="1">
        <v>3.652</v>
      </c>
      <c r="C608" s="6">
        <f t="shared" si="1"/>
        <v>2</v>
      </c>
    </row>
    <row r="609" hidden="1">
      <c r="A609" s="13">
        <v>45173.0</v>
      </c>
      <c r="B609" s="1">
        <v>3.652</v>
      </c>
      <c r="C609" s="6">
        <f t="shared" si="1"/>
        <v>3</v>
      </c>
    </row>
    <row r="610" hidden="1">
      <c r="A610" s="13">
        <v>45174.0</v>
      </c>
      <c r="B610" s="1">
        <v>3.651</v>
      </c>
      <c r="C610" s="6">
        <f t="shared" si="1"/>
        <v>4</v>
      </c>
    </row>
    <row r="611">
      <c r="A611" s="13">
        <v>45175.0</v>
      </c>
      <c r="B611" s="1">
        <v>3.652</v>
      </c>
      <c r="C611" s="6">
        <f t="shared" si="1"/>
        <v>0</v>
      </c>
    </row>
    <row r="612" hidden="1">
      <c r="A612" s="13">
        <v>45176.0</v>
      </c>
      <c r="B612" s="1">
        <v>3.652</v>
      </c>
      <c r="C612" s="6">
        <f t="shared" si="1"/>
        <v>1</v>
      </c>
    </row>
    <row r="613" hidden="1">
      <c r="A613" s="13">
        <v>45177.0</v>
      </c>
      <c r="B613" s="1">
        <v>3.653</v>
      </c>
      <c r="C613" s="6">
        <f t="shared" si="1"/>
        <v>2</v>
      </c>
    </row>
    <row r="614" hidden="1">
      <c r="A614" s="13">
        <v>45180.0</v>
      </c>
      <c r="B614" s="1">
        <v>3.652</v>
      </c>
      <c r="C614" s="6">
        <f t="shared" si="1"/>
        <v>3</v>
      </c>
    </row>
    <row r="615" hidden="1">
      <c r="A615" s="13">
        <v>45181.0</v>
      </c>
      <c r="B615" s="1">
        <v>3.654</v>
      </c>
      <c r="C615" s="6">
        <f t="shared" si="1"/>
        <v>4</v>
      </c>
    </row>
    <row r="616">
      <c r="A616" s="13">
        <v>45182.0</v>
      </c>
      <c r="B616" s="1">
        <v>3.652</v>
      </c>
      <c r="C616" s="6">
        <f t="shared" si="1"/>
        <v>0</v>
      </c>
    </row>
    <row r="617" hidden="1">
      <c r="A617" s="13">
        <v>45183.0</v>
      </c>
      <c r="B617" s="1">
        <v>3.653</v>
      </c>
      <c r="C617" s="6">
        <f t="shared" si="1"/>
        <v>1</v>
      </c>
    </row>
    <row r="618" hidden="1">
      <c r="A618" s="13">
        <v>45184.0</v>
      </c>
      <c r="B618" s="1">
        <v>3.65</v>
      </c>
      <c r="C618" s="6">
        <f t="shared" si="1"/>
        <v>2</v>
      </c>
    </row>
    <row r="619" hidden="1">
      <c r="A619" s="13">
        <v>45187.0</v>
      </c>
      <c r="B619" s="1">
        <v>3.648</v>
      </c>
      <c r="C619" s="6">
        <f t="shared" si="1"/>
        <v>3</v>
      </c>
    </row>
    <row r="620" hidden="1">
      <c r="A620" s="13">
        <v>45188.0</v>
      </c>
      <c r="B620" s="1">
        <v>3.651</v>
      </c>
      <c r="C620" s="6">
        <f t="shared" si="1"/>
        <v>4</v>
      </c>
    </row>
    <row r="621">
      <c r="A621" s="13">
        <v>45189.0</v>
      </c>
      <c r="B621" s="1">
        <v>3.901</v>
      </c>
      <c r="C621" s="6">
        <f t="shared" si="1"/>
        <v>0</v>
      </c>
    </row>
    <row r="622" hidden="1">
      <c r="A622" s="13">
        <v>45190.0</v>
      </c>
      <c r="B622" s="1">
        <v>3.902</v>
      </c>
      <c r="C622" s="6">
        <f t="shared" si="1"/>
        <v>1</v>
      </c>
    </row>
    <row r="623" hidden="1">
      <c r="A623" s="13">
        <v>45191.0</v>
      </c>
      <c r="B623" s="1">
        <v>3.905</v>
      </c>
      <c r="C623" s="6">
        <f t="shared" si="1"/>
        <v>2</v>
      </c>
    </row>
    <row r="624" hidden="1">
      <c r="A624" s="13">
        <v>45194.0</v>
      </c>
      <c r="B624" s="1">
        <v>3.904</v>
      </c>
      <c r="C624" s="6">
        <f t="shared" si="1"/>
        <v>3</v>
      </c>
    </row>
    <row r="625" hidden="1">
      <c r="A625" s="13">
        <v>45195.0</v>
      </c>
      <c r="B625" s="1">
        <v>3.904</v>
      </c>
      <c r="C625" s="6">
        <f t="shared" si="1"/>
        <v>4</v>
      </c>
    </row>
    <row r="626">
      <c r="A626" s="13">
        <v>45196.0</v>
      </c>
      <c r="B626" s="1">
        <v>3.905</v>
      </c>
      <c r="C626" s="6">
        <f t="shared" si="1"/>
        <v>0</v>
      </c>
    </row>
    <row r="627" hidden="1">
      <c r="A627" s="13">
        <v>45197.0</v>
      </c>
      <c r="B627" s="1">
        <v>3.906</v>
      </c>
      <c r="C627" s="6">
        <f t="shared" si="1"/>
        <v>1</v>
      </c>
    </row>
    <row r="628" hidden="1">
      <c r="A628" s="13">
        <v>45198.0</v>
      </c>
      <c r="B628" s="1">
        <v>3.88</v>
      </c>
      <c r="C628" s="6">
        <f t="shared" si="1"/>
        <v>2</v>
      </c>
    </row>
    <row r="629" hidden="1">
      <c r="A629" s="13">
        <v>45201.0</v>
      </c>
      <c r="B629" s="1">
        <v>3.899</v>
      </c>
      <c r="C629" s="6">
        <f t="shared" si="1"/>
        <v>3</v>
      </c>
    </row>
    <row r="630" hidden="1">
      <c r="A630" s="13">
        <v>45202.0</v>
      </c>
      <c r="B630" s="1">
        <v>3.9</v>
      </c>
      <c r="C630" s="6">
        <f t="shared" si="1"/>
        <v>4</v>
      </c>
    </row>
    <row r="631">
      <c r="A631" s="13">
        <v>45203.0</v>
      </c>
      <c r="B631" s="1">
        <v>3.901</v>
      </c>
      <c r="C631" s="6">
        <f t="shared" si="1"/>
        <v>0</v>
      </c>
    </row>
    <row r="632" hidden="1">
      <c r="A632" s="13">
        <v>45204.0</v>
      </c>
      <c r="B632" s="1">
        <v>3.9</v>
      </c>
      <c r="C632" s="6">
        <f t="shared" si="1"/>
        <v>1</v>
      </c>
    </row>
    <row r="633" hidden="1">
      <c r="A633" s="13">
        <v>45205.0</v>
      </c>
      <c r="B633" s="1">
        <v>3.899</v>
      </c>
      <c r="C633" s="6">
        <f t="shared" si="1"/>
        <v>2</v>
      </c>
    </row>
    <row r="634" hidden="1">
      <c r="A634" s="13">
        <v>45208.0</v>
      </c>
      <c r="B634" s="1">
        <v>3.9</v>
      </c>
      <c r="C634" s="6">
        <f t="shared" si="1"/>
        <v>3</v>
      </c>
    </row>
    <row r="635" hidden="1">
      <c r="A635" s="13">
        <v>45209.0</v>
      </c>
      <c r="B635" s="1">
        <v>3.899</v>
      </c>
      <c r="C635" s="6">
        <f t="shared" si="1"/>
        <v>4</v>
      </c>
    </row>
    <row r="636">
      <c r="A636" s="13">
        <v>45210.0</v>
      </c>
      <c r="B636" s="1">
        <v>3.901</v>
      </c>
      <c r="C636" s="6">
        <f t="shared" si="1"/>
        <v>0</v>
      </c>
    </row>
    <row r="637" hidden="1">
      <c r="A637" s="13">
        <v>45211.0</v>
      </c>
      <c r="B637" s="1">
        <v>3.901</v>
      </c>
      <c r="C637" s="6">
        <f t="shared" si="1"/>
        <v>1</v>
      </c>
    </row>
    <row r="638" hidden="1">
      <c r="A638" s="13">
        <v>45212.0</v>
      </c>
      <c r="B638" s="1">
        <v>3.903</v>
      </c>
      <c r="C638" s="6">
        <f t="shared" si="1"/>
        <v>2</v>
      </c>
    </row>
    <row r="639" hidden="1">
      <c r="A639" s="13">
        <v>45215.0</v>
      </c>
      <c r="B639" s="1">
        <v>3.902</v>
      </c>
      <c r="C639" s="6">
        <f t="shared" si="1"/>
        <v>3</v>
      </c>
    </row>
    <row r="640" hidden="1">
      <c r="A640" s="13">
        <v>45216.0</v>
      </c>
      <c r="B640" s="1">
        <v>3.904</v>
      </c>
      <c r="C640" s="6">
        <f t="shared" si="1"/>
        <v>4</v>
      </c>
    </row>
    <row r="641">
      <c r="A641" s="13">
        <v>45217.0</v>
      </c>
      <c r="B641" s="1">
        <v>3.903</v>
      </c>
      <c r="C641" s="6">
        <f t="shared" si="1"/>
        <v>0</v>
      </c>
    </row>
    <row r="642" hidden="1">
      <c r="A642" s="13">
        <v>45218.0</v>
      </c>
      <c r="B642" s="1">
        <v>3.905</v>
      </c>
      <c r="C642" s="6">
        <f t="shared" si="1"/>
        <v>1</v>
      </c>
    </row>
    <row r="643" hidden="1">
      <c r="A643" s="13">
        <v>45219.0</v>
      </c>
      <c r="B643" s="1">
        <v>3.905</v>
      </c>
      <c r="C643" s="6">
        <f t="shared" si="1"/>
        <v>2</v>
      </c>
    </row>
    <row r="644" hidden="1">
      <c r="A644" s="13">
        <v>45222.0</v>
      </c>
      <c r="B644" s="1">
        <v>3.905</v>
      </c>
      <c r="C644" s="6">
        <f t="shared" si="1"/>
        <v>3</v>
      </c>
    </row>
    <row r="645" hidden="1">
      <c r="A645" s="13">
        <v>45223.0</v>
      </c>
      <c r="B645" s="1">
        <v>3.904</v>
      </c>
      <c r="C645" s="6">
        <f t="shared" si="1"/>
        <v>4</v>
      </c>
    </row>
    <row r="646">
      <c r="A646" s="13">
        <v>45224.0</v>
      </c>
      <c r="B646" s="1">
        <v>3.9</v>
      </c>
      <c r="C646" s="6">
        <f t="shared" si="1"/>
        <v>0</v>
      </c>
    </row>
    <row r="647" hidden="1">
      <c r="A647" s="13">
        <v>45225.0</v>
      </c>
      <c r="B647" s="1">
        <v>3.901</v>
      </c>
      <c r="C647" s="6">
        <f t="shared" si="1"/>
        <v>1</v>
      </c>
    </row>
    <row r="648" hidden="1">
      <c r="A648" s="13">
        <v>45226.0</v>
      </c>
      <c r="B648" s="1">
        <v>3.903</v>
      </c>
      <c r="C648" s="6">
        <f t="shared" si="1"/>
        <v>2</v>
      </c>
    </row>
    <row r="649" hidden="1">
      <c r="A649" s="13">
        <v>45229.0</v>
      </c>
      <c r="B649" s="1">
        <v>3.899</v>
      </c>
      <c r="C649" s="6">
        <f t="shared" si="1"/>
        <v>3</v>
      </c>
    </row>
    <row r="650" hidden="1">
      <c r="A650" s="13">
        <v>45230.0</v>
      </c>
      <c r="B650" s="1">
        <v>3.882</v>
      </c>
      <c r="C650" s="6">
        <f t="shared" si="1"/>
        <v>4</v>
      </c>
    </row>
    <row r="651">
      <c r="A651" s="13">
        <v>45231.0</v>
      </c>
      <c r="B651" s="1">
        <v>3.9</v>
      </c>
      <c r="C651" s="6">
        <f t="shared" si="1"/>
        <v>0</v>
      </c>
    </row>
    <row r="652" hidden="1">
      <c r="A652" s="13">
        <v>45232.0</v>
      </c>
      <c r="B652" s="1">
        <v>3.903</v>
      </c>
      <c r="C652" s="6">
        <f t="shared" si="1"/>
        <v>1</v>
      </c>
    </row>
    <row r="653" hidden="1">
      <c r="A653" s="13">
        <v>45233.0</v>
      </c>
      <c r="B653" s="1">
        <v>3.902</v>
      </c>
      <c r="C653" s="6">
        <f t="shared" si="1"/>
        <v>2</v>
      </c>
    </row>
    <row r="654" hidden="1">
      <c r="A654" s="13">
        <v>45236.0</v>
      </c>
      <c r="B654" s="1">
        <v>3.9</v>
      </c>
      <c r="C654" s="6">
        <f t="shared" si="1"/>
        <v>3</v>
      </c>
    </row>
    <row r="655" hidden="1">
      <c r="A655" s="13">
        <v>45237.0</v>
      </c>
      <c r="B655" s="1">
        <v>3.902</v>
      </c>
      <c r="C655" s="6">
        <f t="shared" si="1"/>
        <v>4</v>
      </c>
    </row>
    <row r="656">
      <c r="A656" s="13">
        <v>45238.0</v>
      </c>
      <c r="B656" s="1">
        <v>3.902</v>
      </c>
      <c r="C656" s="6">
        <f t="shared" si="1"/>
        <v>0</v>
      </c>
    </row>
    <row r="657" hidden="1">
      <c r="A657" s="13">
        <v>45239.0</v>
      </c>
      <c r="B657" s="1">
        <v>3.902</v>
      </c>
      <c r="C657" s="6">
        <f t="shared" si="1"/>
        <v>1</v>
      </c>
    </row>
    <row r="658" hidden="1">
      <c r="A658" s="13">
        <v>45240.0</v>
      </c>
      <c r="B658" s="1">
        <v>3.904</v>
      </c>
      <c r="C658" s="6">
        <f t="shared" si="1"/>
        <v>2</v>
      </c>
    </row>
    <row r="659" hidden="1">
      <c r="A659" s="13">
        <v>45243.0</v>
      </c>
      <c r="B659" s="1">
        <v>3.903</v>
      </c>
      <c r="C659" s="6">
        <f t="shared" si="1"/>
        <v>3</v>
      </c>
    </row>
    <row r="660" hidden="1">
      <c r="A660" s="13">
        <v>45244.0</v>
      </c>
      <c r="B660" s="1">
        <v>3.902</v>
      </c>
      <c r="C660" s="6">
        <f t="shared" si="1"/>
        <v>4</v>
      </c>
    </row>
    <row r="661">
      <c r="A661" s="13">
        <v>45245.0</v>
      </c>
      <c r="B661" s="1">
        <v>3.899</v>
      </c>
      <c r="C661" s="6">
        <f t="shared" si="1"/>
        <v>0</v>
      </c>
    </row>
    <row r="662" hidden="1">
      <c r="A662" s="13">
        <v>45246.0</v>
      </c>
      <c r="B662" s="1">
        <v>3.906</v>
      </c>
      <c r="C662" s="6">
        <f t="shared" si="1"/>
        <v>1</v>
      </c>
    </row>
    <row r="663" hidden="1">
      <c r="A663" s="13">
        <v>45247.0</v>
      </c>
      <c r="B663" s="1">
        <v>3.902</v>
      </c>
      <c r="C663" s="6">
        <f t="shared" si="1"/>
        <v>2</v>
      </c>
    </row>
    <row r="664" hidden="1">
      <c r="A664" s="13">
        <v>45250.0</v>
      </c>
      <c r="B664" s="1">
        <v>3.903</v>
      </c>
      <c r="C664" s="6">
        <f t="shared" si="1"/>
        <v>3</v>
      </c>
    </row>
    <row r="665" hidden="1">
      <c r="A665" s="13">
        <v>45251.0</v>
      </c>
      <c r="B665" s="1">
        <v>3.901</v>
      </c>
      <c r="C665" s="6">
        <f t="shared" si="1"/>
        <v>4</v>
      </c>
    </row>
    <row r="666">
      <c r="A666" s="13">
        <v>45252.0</v>
      </c>
      <c r="B666" s="1">
        <v>3.902</v>
      </c>
      <c r="C666" s="6">
        <f t="shared" si="1"/>
        <v>0</v>
      </c>
    </row>
    <row r="667" hidden="1">
      <c r="A667" s="13">
        <v>45253.0</v>
      </c>
      <c r="B667" s="1">
        <v>3.902</v>
      </c>
      <c r="C667" s="6">
        <f t="shared" si="1"/>
        <v>1</v>
      </c>
    </row>
    <row r="668" hidden="1">
      <c r="A668" s="13">
        <v>45254.0</v>
      </c>
      <c r="B668" s="1">
        <v>3.904</v>
      </c>
      <c r="C668" s="6">
        <f t="shared" si="1"/>
        <v>2</v>
      </c>
    </row>
    <row r="669" hidden="1">
      <c r="A669" s="13">
        <v>45257.0</v>
      </c>
      <c r="B669" s="1">
        <v>3.903</v>
      </c>
      <c r="C669" s="6">
        <f t="shared" si="1"/>
        <v>3</v>
      </c>
    </row>
    <row r="670" hidden="1">
      <c r="A670" s="13">
        <v>45258.0</v>
      </c>
      <c r="B670" s="1">
        <v>3.903</v>
      </c>
      <c r="C670" s="6">
        <f t="shared" si="1"/>
        <v>4</v>
      </c>
    </row>
    <row r="671">
      <c r="A671" s="13">
        <v>45259.0</v>
      </c>
      <c r="B671" s="1">
        <v>3.902</v>
      </c>
      <c r="C671" s="6">
        <f t="shared" si="1"/>
        <v>0</v>
      </c>
    </row>
    <row r="672" hidden="1">
      <c r="A672" s="13">
        <v>45260.0</v>
      </c>
      <c r="B672" s="1">
        <v>3.891</v>
      </c>
      <c r="C672" s="6">
        <f t="shared" si="1"/>
        <v>1</v>
      </c>
    </row>
    <row r="673" hidden="1">
      <c r="A673" s="13">
        <v>45261.0</v>
      </c>
      <c r="B673" s="1">
        <v>3.904</v>
      </c>
      <c r="C673" s="6">
        <f t="shared" si="1"/>
        <v>2</v>
      </c>
    </row>
    <row r="674" hidden="1">
      <c r="A674" s="13">
        <v>45264.0</v>
      </c>
      <c r="B674" s="1">
        <v>3.904</v>
      </c>
      <c r="C674" s="6">
        <f t="shared" si="1"/>
        <v>3</v>
      </c>
    </row>
    <row r="675" hidden="1">
      <c r="A675" s="13">
        <v>45265.0</v>
      </c>
      <c r="B675" s="1">
        <v>3.905</v>
      </c>
      <c r="C675" s="6">
        <f t="shared" si="1"/>
        <v>4</v>
      </c>
    </row>
    <row r="676">
      <c r="A676" s="13">
        <v>45266.0</v>
      </c>
      <c r="B676" s="1">
        <v>3.904</v>
      </c>
      <c r="C676" s="6">
        <f t="shared" si="1"/>
        <v>0</v>
      </c>
    </row>
    <row r="677" hidden="1">
      <c r="A677" s="13">
        <v>45267.0</v>
      </c>
      <c r="B677" s="1">
        <v>3.903</v>
      </c>
      <c r="C677" s="6">
        <f t="shared" si="1"/>
        <v>1</v>
      </c>
    </row>
    <row r="678" hidden="1">
      <c r="A678" s="13">
        <v>45268.0</v>
      </c>
      <c r="B678" s="1">
        <v>3.903</v>
      </c>
      <c r="C678" s="6">
        <f t="shared" si="1"/>
        <v>2</v>
      </c>
    </row>
    <row r="679" hidden="1">
      <c r="A679" s="13">
        <v>45271.0</v>
      </c>
      <c r="B679" s="1">
        <v>3.902</v>
      </c>
      <c r="C679" s="6">
        <f t="shared" si="1"/>
        <v>3</v>
      </c>
    </row>
    <row r="680" hidden="1">
      <c r="A680" s="13">
        <v>45272.0</v>
      </c>
      <c r="B680" s="1">
        <v>3.905</v>
      </c>
      <c r="C680" s="6">
        <f t="shared" si="1"/>
        <v>4</v>
      </c>
    </row>
    <row r="681">
      <c r="A681" s="13">
        <v>45273.0</v>
      </c>
      <c r="B681" s="1">
        <v>3.905</v>
      </c>
      <c r="C681" s="6">
        <f t="shared" si="1"/>
        <v>0</v>
      </c>
    </row>
    <row r="682" hidden="1">
      <c r="A682" s="13">
        <v>45274.0</v>
      </c>
      <c r="B682" s="1">
        <v>3.907</v>
      </c>
      <c r="C682" s="6">
        <f t="shared" si="1"/>
        <v>1</v>
      </c>
    </row>
    <row r="683" hidden="1">
      <c r="A683" s="13">
        <v>45275.0</v>
      </c>
      <c r="B683" s="1">
        <v>3.904</v>
      </c>
      <c r="C683" s="6">
        <f t="shared" si="1"/>
        <v>2</v>
      </c>
    </row>
    <row r="684" hidden="1">
      <c r="A684" s="13">
        <v>45278.0</v>
      </c>
      <c r="B684" s="1">
        <v>3.901</v>
      </c>
      <c r="C684" s="6">
        <f t="shared" si="1"/>
        <v>3</v>
      </c>
    </row>
    <row r="685" hidden="1">
      <c r="A685" s="13">
        <v>45279.0</v>
      </c>
      <c r="B685" s="1">
        <v>3.901</v>
      </c>
      <c r="C685" s="6">
        <f t="shared" si="1"/>
        <v>4</v>
      </c>
    </row>
    <row r="686">
      <c r="A686" s="13">
        <v>45280.0</v>
      </c>
      <c r="B686" s="1">
        <v>3.901</v>
      </c>
      <c r="C686" s="6">
        <f t="shared" si="1"/>
        <v>0</v>
      </c>
    </row>
    <row r="687" hidden="1">
      <c r="A687" s="13">
        <v>45281.0</v>
      </c>
      <c r="B687" s="1">
        <v>3.899</v>
      </c>
      <c r="C687" s="6">
        <f t="shared" si="1"/>
        <v>1</v>
      </c>
    </row>
    <row r="688" hidden="1">
      <c r="A688" s="13">
        <v>45282.0</v>
      </c>
      <c r="B688" s="1">
        <v>3.899</v>
      </c>
      <c r="C688" s="6">
        <f t="shared" si="1"/>
        <v>2</v>
      </c>
    </row>
    <row r="689" hidden="1">
      <c r="A689" s="13">
        <v>45287.0</v>
      </c>
      <c r="B689" s="1">
        <v>3.9</v>
      </c>
      <c r="C689" s="6">
        <f t="shared" si="1"/>
        <v>3</v>
      </c>
    </row>
    <row r="690" hidden="1">
      <c r="A690" s="13">
        <v>45288.0</v>
      </c>
      <c r="B690" s="1">
        <v>3.9</v>
      </c>
      <c r="C690" s="6">
        <f t="shared" si="1"/>
        <v>4</v>
      </c>
    </row>
    <row r="691">
      <c r="A691" s="13">
        <v>45289.0</v>
      </c>
      <c r="B691" s="1">
        <v>3.882</v>
      </c>
      <c r="C691" s="6">
        <f t="shared" si="1"/>
        <v>0</v>
      </c>
    </row>
    <row r="692" hidden="1">
      <c r="A692" s="13">
        <v>45293.0</v>
      </c>
      <c r="B692" s="1">
        <v>3.906</v>
      </c>
      <c r="C692" s="6">
        <f t="shared" si="1"/>
        <v>1</v>
      </c>
    </row>
    <row r="693" hidden="1">
      <c r="A693" s="13">
        <v>45294.0</v>
      </c>
      <c r="B693" s="1">
        <v>3.904</v>
      </c>
      <c r="C693" s="6">
        <f t="shared" si="1"/>
        <v>2</v>
      </c>
    </row>
    <row r="694" hidden="1">
      <c r="A694" s="13">
        <v>45295.0</v>
      </c>
      <c r="B694" s="1">
        <v>3.902</v>
      </c>
      <c r="C694" s="6">
        <f t="shared" si="1"/>
        <v>3</v>
      </c>
    </row>
    <row r="695" hidden="1">
      <c r="A695" s="13">
        <v>45296.0</v>
      </c>
      <c r="B695" s="1">
        <v>3.905</v>
      </c>
      <c r="C695" s="6">
        <f t="shared" si="1"/>
        <v>4</v>
      </c>
    </row>
    <row r="696">
      <c r="A696" s="13">
        <v>45299.0</v>
      </c>
      <c r="B696" s="1">
        <v>3.904</v>
      </c>
      <c r="C696" s="6">
        <f t="shared" si="1"/>
        <v>0</v>
      </c>
    </row>
    <row r="697" hidden="1">
      <c r="A697" s="13">
        <v>45300.0</v>
      </c>
      <c r="B697" s="1">
        <v>3.904</v>
      </c>
      <c r="C697" s="6">
        <f t="shared" si="1"/>
        <v>1</v>
      </c>
    </row>
    <row r="698" hidden="1">
      <c r="A698" s="13">
        <v>45301.0</v>
      </c>
      <c r="B698" s="1">
        <v>3.906</v>
      </c>
      <c r="C698" s="6">
        <f t="shared" si="1"/>
        <v>2</v>
      </c>
    </row>
    <row r="699" hidden="1">
      <c r="A699" s="13">
        <v>45302.0</v>
      </c>
      <c r="B699" s="1">
        <v>3.905</v>
      </c>
      <c r="C699" s="6">
        <f t="shared" si="1"/>
        <v>3</v>
      </c>
    </row>
    <row r="700" hidden="1">
      <c r="A700" s="13">
        <v>45303.0</v>
      </c>
      <c r="B700" s="1">
        <v>3.904</v>
      </c>
      <c r="C700" s="6">
        <f t="shared" si="1"/>
        <v>4</v>
      </c>
    </row>
    <row r="701">
      <c r="A701" s="13">
        <v>45306.0</v>
      </c>
      <c r="B701" s="1">
        <v>3.902</v>
      </c>
      <c r="C701" s="6">
        <f t="shared" si="1"/>
        <v>0</v>
      </c>
    </row>
    <row r="702" hidden="1">
      <c r="A702" s="13">
        <v>45307.0</v>
      </c>
      <c r="B702" s="1">
        <v>3.905</v>
      </c>
      <c r="C702" s="6">
        <f t="shared" si="1"/>
        <v>1</v>
      </c>
    </row>
    <row r="703" hidden="1">
      <c r="A703" s="13">
        <v>45308.0</v>
      </c>
      <c r="B703" s="1">
        <v>3.904</v>
      </c>
      <c r="C703" s="6">
        <f t="shared" si="1"/>
        <v>2</v>
      </c>
    </row>
    <row r="704" hidden="1">
      <c r="A704" s="13">
        <v>45309.0</v>
      </c>
      <c r="B704" s="1">
        <v>3.907</v>
      </c>
      <c r="C704" s="6">
        <f t="shared" si="1"/>
        <v>3</v>
      </c>
    </row>
    <row r="705" hidden="1">
      <c r="A705" s="13">
        <v>45310.0</v>
      </c>
      <c r="B705" s="1">
        <v>3.904</v>
      </c>
      <c r="C705" s="6">
        <f t="shared" si="1"/>
        <v>4</v>
      </c>
    </row>
    <row r="706">
      <c r="A706" s="13">
        <v>45313.0</v>
      </c>
      <c r="B706" s="1">
        <v>3.902</v>
      </c>
      <c r="C706" s="6">
        <f t="shared" si="1"/>
        <v>0</v>
      </c>
    </row>
    <row r="707" hidden="1">
      <c r="A707" s="13">
        <v>45314.0</v>
      </c>
      <c r="B707" s="1">
        <v>3.902</v>
      </c>
      <c r="C707" s="6">
        <f t="shared" si="1"/>
        <v>1</v>
      </c>
    </row>
    <row r="708" hidden="1">
      <c r="A708" s="13">
        <v>45315.0</v>
      </c>
      <c r="B708" s="1">
        <v>3.905</v>
      </c>
      <c r="C708" s="6">
        <f t="shared" si="1"/>
        <v>2</v>
      </c>
    </row>
    <row r="709" hidden="1">
      <c r="A709" s="13">
        <v>45316.0</v>
      </c>
      <c r="B709" s="1">
        <v>3.905</v>
      </c>
      <c r="C709" s="6">
        <f t="shared" si="1"/>
        <v>3</v>
      </c>
    </row>
    <row r="710" hidden="1">
      <c r="A710" s="13">
        <v>45317.0</v>
      </c>
      <c r="B710" s="1">
        <v>3.904</v>
      </c>
      <c r="C710" s="6">
        <f t="shared" si="1"/>
        <v>4</v>
      </c>
    </row>
    <row r="711">
      <c r="A711" s="13">
        <v>45320.0</v>
      </c>
      <c r="B711" s="1">
        <v>3.907</v>
      </c>
      <c r="C711" s="6">
        <f t="shared" si="1"/>
        <v>0</v>
      </c>
    </row>
    <row r="712" hidden="1">
      <c r="A712" s="13">
        <v>45321.0</v>
      </c>
      <c r="B712" s="1">
        <v>3.907</v>
      </c>
      <c r="C712" s="6">
        <f t="shared" si="1"/>
        <v>1</v>
      </c>
    </row>
    <row r="713" hidden="1">
      <c r="A713" s="13">
        <v>45322.0</v>
      </c>
      <c r="B713" s="1">
        <v>3.894</v>
      </c>
      <c r="C713" s="6">
        <f t="shared" si="1"/>
        <v>2</v>
      </c>
    </row>
    <row r="714" hidden="1">
      <c r="A714" s="13">
        <v>45323.0</v>
      </c>
      <c r="B714" s="1">
        <v>3.905</v>
      </c>
      <c r="C714" s="6">
        <f t="shared" si="1"/>
        <v>3</v>
      </c>
    </row>
    <row r="715" hidden="1">
      <c r="A715" s="13">
        <v>45324.0</v>
      </c>
      <c r="B715" s="1">
        <v>3.906</v>
      </c>
      <c r="C715" s="6">
        <f t="shared" si="1"/>
        <v>4</v>
      </c>
    </row>
    <row r="716">
      <c r="A716" s="13">
        <v>45327.0</v>
      </c>
      <c r="B716" s="1">
        <v>3.907</v>
      </c>
      <c r="C716" s="6">
        <f t="shared" si="1"/>
        <v>0</v>
      </c>
    </row>
    <row r="717" hidden="1">
      <c r="A717" s="13">
        <v>45328.0</v>
      </c>
      <c r="B717" s="1">
        <v>3.908</v>
      </c>
      <c r="C717" s="6">
        <f t="shared" si="1"/>
        <v>1</v>
      </c>
    </row>
    <row r="718" hidden="1">
      <c r="A718" s="13">
        <v>45329.0</v>
      </c>
      <c r="B718" s="1">
        <v>3.908</v>
      </c>
      <c r="C718" s="6">
        <f t="shared" si="1"/>
        <v>2</v>
      </c>
    </row>
    <row r="719" hidden="1">
      <c r="A719" s="13">
        <v>45330.0</v>
      </c>
      <c r="B719" s="1">
        <v>3.908</v>
      </c>
      <c r="C719" s="6">
        <f t="shared" si="1"/>
        <v>3</v>
      </c>
    </row>
    <row r="720" hidden="1">
      <c r="A720" s="13">
        <v>45331.0</v>
      </c>
      <c r="B720" s="1">
        <v>3.91</v>
      </c>
      <c r="C720" s="6">
        <f t="shared" si="1"/>
        <v>4</v>
      </c>
    </row>
    <row r="721">
      <c r="A721" s="13">
        <v>45334.0</v>
      </c>
      <c r="B721" s="1">
        <v>3.909</v>
      </c>
      <c r="C721" s="6">
        <f t="shared" si="1"/>
        <v>0</v>
      </c>
    </row>
    <row r="722" hidden="1">
      <c r="A722" s="13">
        <v>45335.0</v>
      </c>
      <c r="B722" s="1">
        <v>3.909</v>
      </c>
      <c r="C722" s="6">
        <f t="shared" si="1"/>
        <v>1</v>
      </c>
    </row>
    <row r="723" hidden="1">
      <c r="A723" s="13">
        <v>45336.0</v>
      </c>
      <c r="B723" s="1">
        <v>3.911</v>
      </c>
      <c r="C723" s="6">
        <f t="shared" si="1"/>
        <v>2</v>
      </c>
    </row>
    <row r="724" hidden="1">
      <c r="A724" s="13">
        <v>45337.0</v>
      </c>
      <c r="B724" s="1">
        <v>3.911</v>
      </c>
      <c r="C724" s="6">
        <f t="shared" si="1"/>
        <v>3</v>
      </c>
    </row>
    <row r="725" hidden="1">
      <c r="A725" s="13">
        <v>45338.0</v>
      </c>
      <c r="B725" s="1">
        <v>3.909</v>
      </c>
      <c r="C725" s="6">
        <f t="shared" si="1"/>
        <v>4</v>
      </c>
    </row>
    <row r="726">
      <c r="A726" s="13">
        <v>45341.0</v>
      </c>
      <c r="B726" s="1">
        <v>3.91</v>
      </c>
      <c r="C726" s="6">
        <f t="shared" si="1"/>
        <v>0</v>
      </c>
    </row>
    <row r="727" hidden="1">
      <c r="A727" s="13">
        <v>45342.0</v>
      </c>
      <c r="B727" s="1">
        <v>3.911</v>
      </c>
      <c r="C727" s="6">
        <f t="shared" si="1"/>
        <v>1</v>
      </c>
    </row>
    <row r="728" hidden="1">
      <c r="A728" s="13">
        <v>45343.0</v>
      </c>
      <c r="B728" s="1">
        <v>3.91</v>
      </c>
      <c r="C728" s="6">
        <f t="shared" si="1"/>
        <v>2</v>
      </c>
    </row>
    <row r="729" hidden="1">
      <c r="A729" s="13">
        <v>45344.0</v>
      </c>
      <c r="B729" s="1">
        <v>3.909</v>
      </c>
      <c r="C729" s="6">
        <f t="shared" si="1"/>
        <v>3</v>
      </c>
    </row>
    <row r="730" hidden="1">
      <c r="A730" s="13">
        <v>45345.0</v>
      </c>
      <c r="B730" s="1">
        <v>3.907</v>
      </c>
      <c r="C730" s="6">
        <f t="shared" si="1"/>
        <v>4</v>
      </c>
    </row>
    <row r="731">
      <c r="A731" s="13">
        <v>45348.0</v>
      </c>
      <c r="B731" s="1">
        <v>3.904</v>
      </c>
      <c r="C731" s="6">
        <f t="shared" si="1"/>
        <v>0</v>
      </c>
    </row>
    <row r="732" hidden="1">
      <c r="A732" s="13">
        <v>45349.0</v>
      </c>
      <c r="B732" s="1">
        <v>3.905</v>
      </c>
      <c r="C732" s="6">
        <f t="shared" si="1"/>
        <v>1</v>
      </c>
    </row>
    <row r="733" hidden="1">
      <c r="A733" s="13">
        <v>45350.0</v>
      </c>
      <c r="B733" s="1">
        <v>3.906</v>
      </c>
      <c r="C733" s="6">
        <f t="shared" si="1"/>
        <v>2</v>
      </c>
    </row>
    <row r="734" hidden="1">
      <c r="A734" s="13">
        <v>45351.0</v>
      </c>
      <c r="B734" s="1">
        <v>3.887</v>
      </c>
      <c r="C734" s="6">
        <f t="shared" si="1"/>
        <v>3</v>
      </c>
    </row>
    <row r="735" hidden="1">
      <c r="A735" s="13">
        <v>45352.0</v>
      </c>
      <c r="B735" s="1">
        <v>3.904</v>
      </c>
      <c r="C735" s="6">
        <f t="shared" si="1"/>
        <v>4</v>
      </c>
    </row>
    <row r="736">
      <c r="A736" s="13">
        <v>45355.0</v>
      </c>
      <c r="B736" s="1">
        <v>3.903</v>
      </c>
      <c r="C736" s="6">
        <f t="shared" si="1"/>
        <v>0</v>
      </c>
    </row>
    <row r="737" hidden="1">
      <c r="A737" s="13">
        <v>45356.0</v>
      </c>
      <c r="B737" s="1">
        <v>3.911</v>
      </c>
      <c r="C737" s="6">
        <f t="shared" si="1"/>
        <v>1</v>
      </c>
    </row>
    <row r="738" hidden="1">
      <c r="A738" s="13">
        <v>45357.0</v>
      </c>
      <c r="B738" s="1">
        <v>3.905</v>
      </c>
      <c r="C738" s="6">
        <f t="shared" si="1"/>
        <v>2</v>
      </c>
    </row>
    <row r="739" hidden="1">
      <c r="A739" s="13">
        <v>45358.0</v>
      </c>
      <c r="B739" s="1">
        <v>3.908</v>
      </c>
      <c r="C739" s="6">
        <f t="shared" si="1"/>
        <v>3</v>
      </c>
    </row>
    <row r="740" hidden="1">
      <c r="A740" s="13">
        <v>45359.0</v>
      </c>
      <c r="B740" s="1">
        <v>3.907</v>
      </c>
      <c r="C740" s="6">
        <f t="shared" si="1"/>
        <v>4</v>
      </c>
    </row>
    <row r="741">
      <c r="A741" s="13">
        <v>45362.0</v>
      </c>
      <c r="B741" s="1">
        <v>3.904</v>
      </c>
      <c r="C741" s="6">
        <f t="shared" si="1"/>
        <v>0</v>
      </c>
    </row>
    <row r="742" hidden="1">
      <c r="A742" s="13">
        <v>45363.0</v>
      </c>
      <c r="B742" s="1">
        <v>3.905</v>
      </c>
      <c r="C742" s="6">
        <f t="shared" si="1"/>
        <v>1</v>
      </c>
    </row>
    <row r="743" hidden="1">
      <c r="A743" s="13">
        <v>45364.0</v>
      </c>
      <c r="B743" s="1">
        <v>3.907</v>
      </c>
      <c r="C743" s="6">
        <f t="shared" si="1"/>
        <v>2</v>
      </c>
    </row>
    <row r="744" hidden="1">
      <c r="A744" s="13">
        <v>45365.0</v>
      </c>
      <c r="B744" s="1">
        <v>3.908</v>
      </c>
      <c r="C744" s="6">
        <f t="shared" si="1"/>
        <v>3</v>
      </c>
    </row>
    <row r="745" hidden="1">
      <c r="A745" s="13">
        <v>45366.0</v>
      </c>
      <c r="B745" s="1">
        <v>3.909</v>
      </c>
      <c r="C745" s="6">
        <f t="shared" si="1"/>
        <v>4</v>
      </c>
    </row>
    <row r="746">
      <c r="A746" s="13">
        <v>45369.0</v>
      </c>
      <c r="B746" s="1">
        <v>3.909</v>
      </c>
      <c r="C746" s="6">
        <f t="shared" si="1"/>
        <v>0</v>
      </c>
    </row>
    <row r="747" hidden="1">
      <c r="A747" s="13">
        <v>45370.0</v>
      </c>
      <c r="B747" s="1">
        <v>3.908</v>
      </c>
      <c r="C747" s="6">
        <f t="shared" si="1"/>
        <v>1</v>
      </c>
    </row>
    <row r="748" hidden="1">
      <c r="A748" s="13">
        <v>45371.0</v>
      </c>
      <c r="B748" s="1">
        <v>3.908</v>
      </c>
      <c r="C748" s="6">
        <f t="shared" si="1"/>
        <v>2</v>
      </c>
    </row>
    <row r="749" hidden="1">
      <c r="A749" s="13">
        <v>45372.0</v>
      </c>
      <c r="B749" s="1">
        <v>3.907</v>
      </c>
      <c r="C749" s="6">
        <f t="shared" si="1"/>
        <v>3</v>
      </c>
    </row>
    <row r="750" hidden="1">
      <c r="A750" s="13">
        <v>45373.0</v>
      </c>
      <c r="B750" s="1">
        <v>3.909</v>
      </c>
      <c r="C750" s="6">
        <f t="shared" si="1"/>
        <v>4</v>
      </c>
    </row>
    <row r="751">
      <c r="A751" s="13">
        <v>45376.0</v>
      </c>
      <c r="B751" s="1">
        <v>3.909</v>
      </c>
      <c r="C751" s="6">
        <f t="shared" si="1"/>
        <v>0</v>
      </c>
    </row>
    <row r="752" hidden="1">
      <c r="A752" s="13">
        <v>45377.0</v>
      </c>
      <c r="B752" s="1">
        <v>3.906</v>
      </c>
      <c r="C752" s="6">
        <f t="shared" si="1"/>
        <v>1</v>
      </c>
    </row>
    <row r="753" hidden="1">
      <c r="A753" s="13">
        <v>45378.0</v>
      </c>
      <c r="B753" s="1">
        <v>3.906</v>
      </c>
      <c r="C753" s="6">
        <f t="shared" si="1"/>
        <v>2</v>
      </c>
    </row>
    <row r="754" hidden="1">
      <c r="A754" s="13">
        <v>45379.0</v>
      </c>
      <c r="B754" s="1">
        <v>3.899</v>
      </c>
      <c r="C754" s="6">
        <f t="shared" si="1"/>
        <v>3</v>
      </c>
    </row>
    <row r="755" hidden="1">
      <c r="A755" s="13">
        <v>45384.0</v>
      </c>
      <c r="B755" s="1">
        <v>3.906</v>
      </c>
      <c r="C755" s="6">
        <f t="shared" si="1"/>
        <v>4</v>
      </c>
    </row>
    <row r="756">
      <c r="A756" s="13">
        <v>45385.0</v>
      </c>
      <c r="B756" s="1">
        <v>3.911</v>
      </c>
      <c r="C756" s="6">
        <f t="shared" si="1"/>
        <v>0</v>
      </c>
    </row>
    <row r="757" hidden="1">
      <c r="A757" s="13">
        <v>45386.0</v>
      </c>
      <c r="B757" s="1">
        <v>3.912</v>
      </c>
      <c r="C757" s="6">
        <f t="shared" si="1"/>
        <v>1</v>
      </c>
    </row>
    <row r="758" hidden="1">
      <c r="A758" s="13">
        <v>45387.0</v>
      </c>
      <c r="B758" s="1">
        <v>3.907</v>
      </c>
      <c r="C758" s="6">
        <f t="shared" si="1"/>
        <v>2</v>
      </c>
    </row>
    <row r="759" hidden="1">
      <c r="A759" s="13">
        <v>45390.0</v>
      </c>
      <c r="B759" s="1">
        <v>3.908</v>
      </c>
      <c r="C759" s="6">
        <f t="shared" si="1"/>
        <v>3</v>
      </c>
    </row>
    <row r="760" hidden="1">
      <c r="A760" s="13">
        <v>45391.0</v>
      </c>
      <c r="B760" s="1">
        <v>3.909</v>
      </c>
      <c r="C760" s="6">
        <f t="shared" si="1"/>
        <v>4</v>
      </c>
    </row>
    <row r="761">
      <c r="A761" s="13">
        <v>45392.0</v>
      </c>
      <c r="B761" s="1">
        <v>3.907</v>
      </c>
      <c r="C761" s="6">
        <f t="shared" si="1"/>
        <v>0</v>
      </c>
    </row>
    <row r="762" hidden="1">
      <c r="A762" s="13">
        <v>45393.0</v>
      </c>
      <c r="B762" s="1">
        <v>3.907</v>
      </c>
      <c r="C762" s="6">
        <f t="shared" si="1"/>
        <v>1</v>
      </c>
    </row>
    <row r="763" hidden="1">
      <c r="A763" s="13">
        <v>45394.0</v>
      </c>
      <c r="B763" s="1">
        <v>3.91</v>
      </c>
      <c r="C763" s="6">
        <f t="shared" si="1"/>
        <v>2</v>
      </c>
    </row>
    <row r="764" hidden="1">
      <c r="A764" s="13">
        <v>45397.0</v>
      </c>
      <c r="B764" s="1">
        <v>3.907</v>
      </c>
      <c r="C764" s="6">
        <f t="shared" si="1"/>
        <v>3</v>
      </c>
    </row>
    <row r="765" hidden="1">
      <c r="A765" s="13">
        <v>45398.0</v>
      </c>
      <c r="B765" s="1">
        <v>3.911</v>
      </c>
      <c r="C765" s="6">
        <f t="shared" si="1"/>
        <v>4</v>
      </c>
    </row>
    <row r="766">
      <c r="A766" s="13">
        <v>45399.0</v>
      </c>
      <c r="B766" s="1">
        <v>3.908</v>
      </c>
      <c r="C766" s="6">
        <f t="shared" si="1"/>
        <v>0</v>
      </c>
    </row>
    <row r="767" hidden="1">
      <c r="A767" s="13">
        <v>45400.0</v>
      </c>
      <c r="B767" s="1">
        <v>3.909</v>
      </c>
      <c r="C767" s="6">
        <f t="shared" si="1"/>
        <v>1</v>
      </c>
    </row>
    <row r="768" hidden="1">
      <c r="A768" s="13">
        <v>45401.0</v>
      </c>
      <c r="B768" s="1">
        <v>3.91</v>
      </c>
      <c r="C768" s="6">
        <f t="shared" si="1"/>
        <v>2</v>
      </c>
    </row>
    <row r="769" hidden="1">
      <c r="A769" s="13">
        <v>45404.0</v>
      </c>
      <c r="B769" s="1">
        <v>3.91</v>
      </c>
      <c r="C769" s="6">
        <f t="shared" si="1"/>
        <v>3</v>
      </c>
    </row>
    <row r="770" hidden="1">
      <c r="A770" s="13">
        <v>45405.0</v>
      </c>
      <c r="B770" s="1">
        <v>3.908</v>
      </c>
      <c r="C770" s="6">
        <f t="shared" si="1"/>
        <v>4</v>
      </c>
    </row>
    <row r="771">
      <c r="A771" s="13">
        <v>45406.0</v>
      </c>
      <c r="B771" s="1">
        <v>3.911</v>
      </c>
      <c r="C771" s="6">
        <f t="shared" si="1"/>
        <v>0</v>
      </c>
    </row>
    <row r="772" hidden="1">
      <c r="A772" s="13">
        <v>45407.0</v>
      </c>
      <c r="B772" s="1">
        <v>3.909</v>
      </c>
      <c r="C772" s="6">
        <f t="shared" si="1"/>
        <v>1</v>
      </c>
    </row>
    <row r="773" hidden="1">
      <c r="A773" s="13">
        <v>45408.0</v>
      </c>
      <c r="B773" s="1">
        <v>3.907</v>
      </c>
      <c r="C773" s="6">
        <f t="shared" si="1"/>
        <v>2</v>
      </c>
    </row>
    <row r="774" hidden="1">
      <c r="A774" s="13">
        <v>45411.0</v>
      </c>
      <c r="B774" s="1">
        <v>3.906</v>
      </c>
      <c r="C774" s="6">
        <f t="shared" si="1"/>
        <v>3</v>
      </c>
    </row>
    <row r="775" hidden="1">
      <c r="A775" s="13">
        <v>45412.0</v>
      </c>
      <c r="B775" s="1">
        <v>3.889</v>
      </c>
      <c r="C775" s="6">
        <f t="shared" si="1"/>
        <v>4</v>
      </c>
    </row>
    <row r="776">
      <c r="A776" s="13">
        <v>45414.0</v>
      </c>
      <c r="B776" s="1">
        <v>3.91</v>
      </c>
      <c r="C776" s="6">
        <f t="shared" si="1"/>
        <v>0</v>
      </c>
    </row>
    <row r="777" hidden="1">
      <c r="A777" s="13">
        <v>45415.0</v>
      </c>
      <c r="B777" s="1">
        <v>3.908</v>
      </c>
      <c r="C777" s="6">
        <f t="shared" si="1"/>
        <v>1</v>
      </c>
    </row>
    <row r="778" hidden="1">
      <c r="A778" s="13">
        <v>45418.0</v>
      </c>
      <c r="B778" s="1">
        <v>3.909</v>
      </c>
      <c r="C778" s="6">
        <f t="shared" si="1"/>
        <v>2</v>
      </c>
    </row>
    <row r="779" hidden="1">
      <c r="A779" s="13">
        <v>45419.0</v>
      </c>
      <c r="B779" s="1">
        <v>3.906</v>
      </c>
      <c r="C779" s="6">
        <f t="shared" si="1"/>
        <v>3</v>
      </c>
    </row>
    <row r="780" hidden="1">
      <c r="A780" s="13">
        <v>45420.0</v>
      </c>
      <c r="B780" s="1">
        <v>3.905</v>
      </c>
      <c r="C780" s="6">
        <f t="shared" si="1"/>
        <v>4</v>
      </c>
    </row>
    <row r="781">
      <c r="A781" s="13">
        <v>45421.0</v>
      </c>
      <c r="B781" s="1">
        <v>3.901</v>
      </c>
      <c r="C781" s="6">
        <f t="shared" si="1"/>
        <v>0</v>
      </c>
    </row>
    <row r="782" hidden="1">
      <c r="A782" s="13">
        <v>45422.0</v>
      </c>
      <c r="B782" s="1">
        <v>3.906</v>
      </c>
      <c r="C782" s="6">
        <f t="shared" si="1"/>
        <v>1</v>
      </c>
    </row>
    <row r="783" hidden="1">
      <c r="A783" s="13">
        <v>45425.0</v>
      </c>
      <c r="B783" s="1">
        <v>3.907</v>
      </c>
      <c r="C783" s="6">
        <f t="shared" si="1"/>
        <v>2</v>
      </c>
    </row>
    <row r="784" hidden="1">
      <c r="A784" s="13">
        <v>45426.0</v>
      </c>
      <c r="B784" s="1">
        <v>3.907</v>
      </c>
      <c r="C784" s="6">
        <f t="shared" si="1"/>
        <v>3</v>
      </c>
    </row>
    <row r="785" hidden="1">
      <c r="A785" s="13">
        <v>45427.0</v>
      </c>
      <c r="B785" s="1">
        <v>3.908</v>
      </c>
      <c r="C785" s="6">
        <f t="shared" si="1"/>
        <v>4</v>
      </c>
    </row>
    <row r="786">
      <c r="A786" s="13">
        <v>45428.0</v>
      </c>
      <c r="B786" s="1">
        <v>3.904</v>
      </c>
      <c r="C786" s="6">
        <f t="shared" si="1"/>
        <v>0</v>
      </c>
    </row>
    <row r="787" hidden="1">
      <c r="A787" s="13">
        <v>45429.0</v>
      </c>
      <c r="B787" s="1">
        <v>3.901</v>
      </c>
      <c r="C787" s="6">
        <f t="shared" si="1"/>
        <v>1</v>
      </c>
    </row>
    <row r="788" hidden="1">
      <c r="A788" s="13">
        <v>45432.0</v>
      </c>
      <c r="B788" s="1">
        <v>3.904</v>
      </c>
      <c r="C788" s="6">
        <f t="shared" si="1"/>
        <v>2</v>
      </c>
    </row>
    <row r="789" hidden="1">
      <c r="A789" s="13">
        <v>45433.0</v>
      </c>
      <c r="B789" s="1">
        <v>3.912</v>
      </c>
      <c r="C789" s="6">
        <f t="shared" si="1"/>
        <v>3</v>
      </c>
    </row>
    <row r="790" hidden="1">
      <c r="A790" s="13">
        <v>45434.0</v>
      </c>
      <c r="B790" s="1">
        <v>3.91</v>
      </c>
      <c r="C790" s="6">
        <f t="shared" si="1"/>
        <v>4</v>
      </c>
    </row>
    <row r="791">
      <c r="A791" s="13">
        <v>45435.0</v>
      </c>
      <c r="B791" s="1">
        <v>3.912</v>
      </c>
      <c r="C791" s="6">
        <f t="shared" si="1"/>
        <v>0</v>
      </c>
    </row>
    <row r="792" hidden="1">
      <c r="A792" s="13">
        <v>45436.0</v>
      </c>
      <c r="B792" s="1">
        <v>3.91</v>
      </c>
      <c r="C792" s="6">
        <f t="shared" si="1"/>
        <v>1</v>
      </c>
    </row>
    <row r="793" hidden="1">
      <c r="A793" s="13">
        <v>45439.0</v>
      </c>
      <c r="B793" s="1">
        <v>3.911</v>
      </c>
      <c r="C793" s="6">
        <f t="shared" si="1"/>
        <v>2</v>
      </c>
    </row>
    <row r="794" hidden="1">
      <c r="A794" s="13">
        <v>45440.0</v>
      </c>
      <c r="B794" s="1">
        <v>3.909</v>
      </c>
      <c r="C794" s="6">
        <f t="shared" si="1"/>
        <v>3</v>
      </c>
    </row>
    <row r="795" hidden="1">
      <c r="A795" s="13">
        <v>45441.0</v>
      </c>
      <c r="B795" s="1">
        <v>3.909</v>
      </c>
      <c r="C795" s="6">
        <f t="shared" si="1"/>
        <v>4</v>
      </c>
    </row>
    <row r="796">
      <c r="A796" s="13">
        <v>45442.0</v>
      </c>
      <c r="B796" s="1">
        <v>3.91</v>
      </c>
      <c r="C796" s="6">
        <f t="shared" si="1"/>
        <v>0</v>
      </c>
    </row>
    <row r="797" hidden="1">
      <c r="A797" s="13">
        <v>45443.0</v>
      </c>
      <c r="B797" s="1">
        <v>3.892</v>
      </c>
      <c r="C797" s="6">
        <f t="shared" si="1"/>
        <v>1</v>
      </c>
    </row>
    <row r="798" hidden="1">
      <c r="A798" s="13">
        <v>45446.0</v>
      </c>
      <c r="B798" s="1">
        <v>3.913</v>
      </c>
      <c r="C798" s="6">
        <f t="shared" si="1"/>
        <v>2</v>
      </c>
    </row>
    <row r="799" hidden="1">
      <c r="A799" s="13">
        <v>45447.0</v>
      </c>
      <c r="B799" s="1">
        <v>3.911</v>
      </c>
      <c r="C799" s="6">
        <f t="shared" si="1"/>
        <v>3</v>
      </c>
    </row>
    <row r="800" hidden="1">
      <c r="A800" s="13">
        <v>45448.0</v>
      </c>
      <c r="B800" s="1">
        <v>3.913</v>
      </c>
      <c r="C800" s="6">
        <f t="shared" si="1"/>
        <v>4</v>
      </c>
    </row>
    <row r="801">
      <c r="A801" s="13">
        <v>45449.0</v>
      </c>
      <c r="B801" s="1">
        <v>3.911</v>
      </c>
      <c r="C801" s="6">
        <f t="shared" si="1"/>
        <v>0</v>
      </c>
    </row>
    <row r="802" hidden="1">
      <c r="A802" s="13">
        <v>45450.0</v>
      </c>
      <c r="B802" s="1">
        <v>3.912</v>
      </c>
      <c r="C802" s="6">
        <f t="shared" si="1"/>
        <v>1</v>
      </c>
    </row>
    <row r="803" hidden="1">
      <c r="A803" s="13">
        <v>45453.0</v>
      </c>
      <c r="B803" s="1">
        <v>3.912</v>
      </c>
      <c r="C803" s="6">
        <f t="shared" si="1"/>
        <v>2</v>
      </c>
    </row>
    <row r="804" hidden="1">
      <c r="A804" s="13">
        <v>45454.0</v>
      </c>
      <c r="B804" s="1">
        <v>3.909</v>
      </c>
      <c r="C804" s="6">
        <f t="shared" si="1"/>
        <v>3</v>
      </c>
    </row>
    <row r="805" hidden="1">
      <c r="A805" s="13">
        <v>45455.0</v>
      </c>
      <c r="B805" s="1">
        <v>3.662</v>
      </c>
      <c r="C805" s="6">
        <f t="shared" si="1"/>
        <v>4</v>
      </c>
    </row>
    <row r="806">
      <c r="A806" s="13">
        <v>45456.0</v>
      </c>
      <c r="B806" s="1">
        <v>3.661</v>
      </c>
      <c r="C806" s="6">
        <f t="shared" si="1"/>
        <v>0</v>
      </c>
    </row>
    <row r="807" hidden="1">
      <c r="A807" s="13">
        <v>45457.0</v>
      </c>
      <c r="B807" s="1">
        <v>3.662</v>
      </c>
      <c r="C807" s="6">
        <f t="shared" si="1"/>
        <v>1</v>
      </c>
    </row>
    <row r="808" hidden="1">
      <c r="A808" s="13">
        <v>45460.0</v>
      </c>
      <c r="B808" s="1">
        <v>3.662</v>
      </c>
      <c r="C808" s="6">
        <f t="shared" si="1"/>
        <v>2</v>
      </c>
    </row>
    <row r="809" hidden="1">
      <c r="A809" s="13">
        <v>45461.0</v>
      </c>
      <c r="B809" s="1">
        <v>3.666</v>
      </c>
      <c r="C809" s="6">
        <f t="shared" si="1"/>
        <v>3</v>
      </c>
    </row>
    <row r="810" hidden="1">
      <c r="A810" s="13">
        <v>45462.0</v>
      </c>
      <c r="B810" s="1">
        <v>3.663</v>
      </c>
      <c r="C810" s="6">
        <f t="shared" si="1"/>
        <v>4</v>
      </c>
    </row>
    <row r="811">
      <c r="A811" s="13">
        <v>45463.0</v>
      </c>
      <c r="B811" s="1">
        <v>3.663</v>
      </c>
      <c r="C811" s="6">
        <f t="shared" si="1"/>
        <v>0</v>
      </c>
    </row>
    <row r="812" hidden="1">
      <c r="A812" s="13">
        <v>45464.0</v>
      </c>
      <c r="B812" s="1">
        <v>3.664</v>
      </c>
      <c r="C812" s="6">
        <f t="shared" si="1"/>
        <v>1</v>
      </c>
    </row>
    <row r="813" hidden="1">
      <c r="A813" s="13">
        <v>45467.0</v>
      </c>
      <c r="B813" s="1">
        <v>3.663</v>
      </c>
      <c r="C813" s="6">
        <f t="shared" si="1"/>
        <v>2</v>
      </c>
    </row>
    <row r="814" hidden="1">
      <c r="A814" s="13">
        <v>45468.0</v>
      </c>
      <c r="B814" s="1">
        <v>3.663</v>
      </c>
      <c r="C814" s="6">
        <f t="shared" si="1"/>
        <v>3</v>
      </c>
    </row>
    <row r="815" hidden="1">
      <c r="A815" s="13">
        <v>45469.0</v>
      </c>
      <c r="B815" s="1">
        <v>3.661</v>
      </c>
      <c r="C815" s="6">
        <f t="shared" si="1"/>
        <v>4</v>
      </c>
    </row>
    <row r="816">
      <c r="A816" s="13">
        <v>45470.0</v>
      </c>
      <c r="B816" s="1">
        <v>3.662</v>
      </c>
      <c r="C816" s="6">
        <f t="shared" si="1"/>
        <v>0</v>
      </c>
    </row>
    <row r="817" hidden="1">
      <c r="A817" s="13">
        <v>45471.0</v>
      </c>
      <c r="B817" s="1">
        <v>3.656</v>
      </c>
      <c r="C817" s="6">
        <f t="shared" si="1"/>
        <v>1</v>
      </c>
    </row>
    <row r="818" hidden="1">
      <c r="A818" s="13">
        <v>45474.0</v>
      </c>
      <c r="B818" s="1">
        <v>3.665</v>
      </c>
      <c r="C818" s="6">
        <f t="shared" si="1"/>
        <v>2</v>
      </c>
    </row>
    <row r="819" hidden="1">
      <c r="A819" s="13">
        <v>45475.0</v>
      </c>
      <c r="B819" s="1">
        <v>3.662</v>
      </c>
      <c r="C819" s="6">
        <f t="shared" si="1"/>
        <v>3</v>
      </c>
    </row>
    <row r="820" hidden="1">
      <c r="A820" s="13">
        <v>45476.0</v>
      </c>
      <c r="B820" s="1">
        <v>3.663</v>
      </c>
      <c r="C820" s="6">
        <f t="shared" si="1"/>
        <v>4</v>
      </c>
    </row>
    <row r="821">
      <c r="A821" s="13">
        <v>45477.0</v>
      </c>
      <c r="B821" s="1">
        <v>3.663</v>
      </c>
      <c r="C821" s="6">
        <f t="shared" si="1"/>
        <v>0</v>
      </c>
    </row>
    <row r="822" hidden="1">
      <c r="A822" s="13">
        <v>45478.0</v>
      </c>
      <c r="B822" s="1">
        <v>3.663</v>
      </c>
      <c r="C822" s="6">
        <f t="shared" si="1"/>
        <v>1</v>
      </c>
    </row>
    <row r="823" hidden="1">
      <c r="A823" s="13">
        <v>45481.0</v>
      </c>
      <c r="B823" s="1">
        <v>3.662</v>
      </c>
      <c r="C823" s="6">
        <f t="shared" si="1"/>
        <v>2</v>
      </c>
    </row>
    <row r="824" hidden="1">
      <c r="A824" s="13">
        <v>45482.0</v>
      </c>
      <c r="B824" s="1">
        <v>3.662</v>
      </c>
      <c r="C824" s="6">
        <f t="shared" si="1"/>
        <v>3</v>
      </c>
    </row>
    <row r="825" hidden="1">
      <c r="A825" s="13">
        <v>45483.0</v>
      </c>
      <c r="B825" s="1">
        <v>3.663</v>
      </c>
      <c r="C825" s="6">
        <f t="shared" si="1"/>
        <v>4</v>
      </c>
    </row>
    <row r="826">
      <c r="A826" s="13">
        <v>45484.0</v>
      </c>
      <c r="B826" s="1">
        <v>3.662</v>
      </c>
      <c r="C826" s="6">
        <f t="shared" si="1"/>
        <v>0</v>
      </c>
    </row>
    <row r="827" hidden="1">
      <c r="A827" s="13">
        <v>45485.0</v>
      </c>
      <c r="B827" s="1">
        <v>3.661</v>
      </c>
      <c r="C827" s="6">
        <f t="shared" si="1"/>
        <v>1</v>
      </c>
    </row>
    <row r="828" hidden="1">
      <c r="A828" s="13">
        <v>45488.0</v>
      </c>
      <c r="B828" s="1">
        <v>3.661</v>
      </c>
      <c r="C828" s="6">
        <f t="shared" si="1"/>
        <v>2</v>
      </c>
    </row>
    <row r="829" hidden="1">
      <c r="A829" s="13">
        <v>45489.0</v>
      </c>
      <c r="B829" s="1">
        <v>3.662</v>
      </c>
      <c r="C829" s="6">
        <f t="shared" si="1"/>
        <v>3</v>
      </c>
    </row>
    <row r="830" hidden="1">
      <c r="A830" s="13">
        <v>45490.0</v>
      </c>
      <c r="B830" s="1">
        <v>3.662</v>
      </c>
      <c r="C830" s="6">
        <f t="shared" si="1"/>
        <v>4</v>
      </c>
    </row>
    <row r="831">
      <c r="A831" s="13">
        <v>45491.0</v>
      </c>
      <c r="B831" s="1">
        <v>3.663</v>
      </c>
      <c r="C831" s="6">
        <f t="shared" si="1"/>
        <v>0</v>
      </c>
    </row>
    <row r="832" hidden="1">
      <c r="A832" s="13">
        <v>45492.0</v>
      </c>
      <c r="B832" s="1">
        <v>3.663</v>
      </c>
      <c r="C832" s="6">
        <f t="shared" si="1"/>
        <v>1</v>
      </c>
    </row>
    <row r="833" hidden="1">
      <c r="A833" s="13">
        <v>45495.0</v>
      </c>
      <c r="B833" s="1">
        <v>3.664</v>
      </c>
      <c r="C833" s="6">
        <f t="shared" si="1"/>
        <v>2</v>
      </c>
    </row>
    <row r="834" hidden="1">
      <c r="A834" s="13">
        <v>45496.0</v>
      </c>
      <c r="B834" s="1">
        <v>3.665</v>
      </c>
      <c r="C834" s="6">
        <f t="shared" si="1"/>
        <v>3</v>
      </c>
    </row>
    <row r="835" hidden="1">
      <c r="A835" s="13">
        <v>45497.0</v>
      </c>
      <c r="B835" s="1">
        <v>3.665</v>
      </c>
      <c r="C835" s="6">
        <f t="shared" si="1"/>
        <v>4</v>
      </c>
    </row>
    <row r="836">
      <c r="A836" s="13">
        <v>45498.0</v>
      </c>
      <c r="B836" s="1">
        <v>3.665</v>
      </c>
      <c r="C836" s="6">
        <f t="shared" si="1"/>
        <v>0</v>
      </c>
    </row>
    <row r="837" hidden="1">
      <c r="A837" s="13">
        <v>45499.0</v>
      </c>
      <c r="B837" s="1">
        <v>3.663</v>
      </c>
      <c r="C837" s="6">
        <f t="shared" si="1"/>
        <v>1</v>
      </c>
    </row>
    <row r="838" hidden="1">
      <c r="A838" s="13">
        <v>45502.0</v>
      </c>
      <c r="B838" s="1">
        <v>3.663</v>
      </c>
      <c r="C838" s="6">
        <f t="shared" si="1"/>
        <v>2</v>
      </c>
    </row>
    <row r="839" hidden="1">
      <c r="A839" s="13">
        <v>45503.0</v>
      </c>
      <c r="B839" s="1">
        <v>3.665</v>
      </c>
      <c r="C839" s="6">
        <f t="shared" si="1"/>
        <v>3</v>
      </c>
    </row>
    <row r="840" hidden="1">
      <c r="A840" s="13">
        <v>45504.0</v>
      </c>
      <c r="B840" s="1">
        <v>3.653</v>
      </c>
      <c r="C840" s="6">
        <f t="shared" si="1"/>
        <v>4</v>
      </c>
    </row>
    <row r="841">
      <c r="A841" s="13">
        <v>45505.0</v>
      </c>
      <c r="B841" s="1">
        <v>3.664</v>
      </c>
      <c r="C841" s="6">
        <f t="shared" si="1"/>
        <v>0</v>
      </c>
    </row>
    <row r="842" hidden="1">
      <c r="A842" s="13">
        <v>45506.0</v>
      </c>
      <c r="B842" s="1">
        <v>3.664</v>
      </c>
      <c r="C842" s="6">
        <f t="shared" si="1"/>
        <v>1</v>
      </c>
    </row>
    <row r="843" hidden="1">
      <c r="A843" s="13">
        <v>45509.0</v>
      </c>
      <c r="B843" s="1">
        <v>3.664</v>
      </c>
      <c r="C843" s="6">
        <f t="shared" si="1"/>
        <v>2</v>
      </c>
    </row>
    <row r="844" hidden="1">
      <c r="A844" s="13">
        <v>45510.0</v>
      </c>
      <c r="B844" s="1">
        <v>3.663</v>
      </c>
      <c r="C844" s="6">
        <f t="shared" si="1"/>
        <v>3</v>
      </c>
    </row>
    <row r="845" hidden="1">
      <c r="A845" s="13">
        <v>45511.0</v>
      </c>
      <c r="B845" s="1">
        <v>3.663</v>
      </c>
      <c r="C845" s="6">
        <f t="shared" si="1"/>
        <v>4</v>
      </c>
    </row>
    <row r="846">
      <c r="A846" s="13">
        <v>45512.0</v>
      </c>
      <c r="B846" s="1">
        <v>3.665</v>
      </c>
      <c r="C846" s="6">
        <f t="shared" si="1"/>
        <v>0</v>
      </c>
    </row>
    <row r="847" hidden="1">
      <c r="A847" s="13">
        <v>45513.0</v>
      </c>
      <c r="B847" s="1">
        <v>3.663</v>
      </c>
      <c r="C847" s="6">
        <f t="shared" si="1"/>
        <v>1</v>
      </c>
    </row>
    <row r="848" hidden="1">
      <c r="A848" s="13">
        <v>45516.0</v>
      </c>
      <c r="B848" s="1">
        <v>3.664</v>
      </c>
      <c r="C848" s="6">
        <f t="shared" si="1"/>
        <v>2</v>
      </c>
    </row>
    <row r="849" hidden="1">
      <c r="A849" s="13">
        <v>45517.0</v>
      </c>
      <c r="B849" s="1">
        <v>3.664</v>
      </c>
      <c r="C849" s="6">
        <f t="shared" si="1"/>
        <v>3</v>
      </c>
    </row>
    <row r="850" hidden="1">
      <c r="A850" s="13">
        <v>45518.0</v>
      </c>
      <c r="B850" s="1">
        <v>3.662</v>
      </c>
      <c r="C850" s="6">
        <f t="shared" si="1"/>
        <v>4</v>
      </c>
    </row>
    <row r="851">
      <c r="A851" s="13">
        <v>45519.0</v>
      </c>
      <c r="B851" s="1">
        <v>3.662</v>
      </c>
      <c r="C851" s="6">
        <f t="shared" si="1"/>
        <v>0</v>
      </c>
    </row>
    <row r="852" hidden="1">
      <c r="A852" s="13">
        <v>45520.0</v>
      </c>
      <c r="B852" s="1">
        <v>3.664</v>
      </c>
      <c r="C852" s="6">
        <f t="shared" si="1"/>
        <v>1</v>
      </c>
    </row>
    <row r="853" hidden="1">
      <c r="A853" s="13">
        <v>45523.0</v>
      </c>
      <c r="B853" s="1">
        <v>3.664</v>
      </c>
      <c r="C853" s="6">
        <f t="shared" si="1"/>
        <v>2</v>
      </c>
    </row>
    <row r="854" hidden="1">
      <c r="A854" s="13">
        <v>45524.0</v>
      </c>
      <c r="B854" s="1">
        <v>3.664</v>
      </c>
      <c r="C854" s="6">
        <f t="shared" si="1"/>
        <v>3</v>
      </c>
    </row>
    <row r="855" hidden="1">
      <c r="A855" s="13">
        <v>45525.0</v>
      </c>
      <c r="B855" s="1">
        <v>3.663</v>
      </c>
      <c r="C855" s="6">
        <f t="shared" si="1"/>
        <v>4</v>
      </c>
    </row>
    <row r="856">
      <c r="A856" s="13">
        <v>45526.0</v>
      </c>
      <c r="B856" s="1">
        <v>3.664</v>
      </c>
      <c r="C856" s="6">
        <f t="shared" si="1"/>
        <v>0</v>
      </c>
    </row>
    <row r="857" hidden="1">
      <c r="A857" s="13">
        <v>45527.0</v>
      </c>
      <c r="B857" s="1">
        <v>3.664</v>
      </c>
      <c r="C857" s="6">
        <f t="shared" si="1"/>
        <v>1</v>
      </c>
    </row>
    <row r="858" hidden="1">
      <c r="A858" s="13">
        <v>45530.0</v>
      </c>
      <c r="B858" s="1">
        <v>3.665</v>
      </c>
      <c r="C858" s="6">
        <f t="shared" si="1"/>
        <v>2</v>
      </c>
    </row>
    <row r="859" hidden="1">
      <c r="A859" s="13">
        <v>45531.0</v>
      </c>
      <c r="B859" s="1">
        <v>3.665</v>
      </c>
      <c r="C859" s="6">
        <f t="shared" si="1"/>
        <v>3</v>
      </c>
    </row>
    <row r="860" hidden="1">
      <c r="A860" s="13">
        <v>45532.0</v>
      </c>
      <c r="B860" s="1">
        <v>3.666</v>
      </c>
      <c r="C860" s="6">
        <f t="shared" si="1"/>
        <v>4</v>
      </c>
    </row>
    <row r="861">
      <c r="A861" s="13">
        <v>45533.0</v>
      </c>
      <c r="B861" s="1">
        <v>3.664</v>
      </c>
      <c r="C861" s="6">
        <f t="shared" si="1"/>
        <v>0</v>
      </c>
    </row>
    <row r="862" hidden="1">
      <c r="A862" s="13">
        <v>45534.0</v>
      </c>
      <c r="B862" s="1">
        <v>3.654</v>
      </c>
      <c r="C862" s="6">
        <f t="shared" si="1"/>
        <v>1</v>
      </c>
    </row>
    <row r="863" hidden="1">
      <c r="A863" s="13">
        <v>45537.0</v>
      </c>
      <c r="B863" s="1">
        <v>3.664</v>
      </c>
      <c r="C863" s="6">
        <f t="shared" si="1"/>
        <v>2</v>
      </c>
    </row>
    <row r="864" hidden="1">
      <c r="A864" s="13">
        <v>45538.0</v>
      </c>
      <c r="B864" s="1">
        <v>3.663</v>
      </c>
      <c r="C864" s="6">
        <f t="shared" si="1"/>
        <v>3</v>
      </c>
    </row>
    <row r="865" hidden="1">
      <c r="A865" s="13">
        <v>45539.0</v>
      </c>
      <c r="B865" s="1">
        <v>3.663</v>
      </c>
      <c r="C865" s="6">
        <f t="shared" si="1"/>
        <v>4</v>
      </c>
    </row>
    <row r="866">
      <c r="A866" s="13">
        <v>45540.0</v>
      </c>
      <c r="B866" s="1">
        <v>3.662</v>
      </c>
      <c r="C866" s="6">
        <f t="shared" si="1"/>
        <v>0</v>
      </c>
    </row>
    <row r="867" hidden="1">
      <c r="A867" s="13">
        <v>45541.0</v>
      </c>
      <c r="B867" s="1">
        <v>3.663</v>
      </c>
      <c r="C867" s="6">
        <f t="shared" si="1"/>
        <v>1</v>
      </c>
    </row>
    <row r="868" hidden="1">
      <c r="A868" s="13">
        <v>45544.0</v>
      </c>
      <c r="B868" s="1">
        <v>3.663</v>
      </c>
      <c r="C868" s="6">
        <f t="shared" si="1"/>
        <v>2</v>
      </c>
    </row>
    <row r="869" hidden="1">
      <c r="A869" s="13">
        <v>45545.0</v>
      </c>
      <c r="B869" s="1">
        <v>3.664</v>
      </c>
      <c r="C869" s="6">
        <f t="shared" si="1"/>
        <v>3</v>
      </c>
    </row>
    <row r="870" hidden="1">
      <c r="A870" s="13">
        <v>45546.0</v>
      </c>
      <c r="B870" s="1">
        <v>3.664</v>
      </c>
      <c r="C870" s="6">
        <f t="shared" si="1"/>
        <v>4</v>
      </c>
    </row>
    <row r="871">
      <c r="A871" s="13">
        <v>45547.0</v>
      </c>
      <c r="B871" s="1">
        <v>3.664</v>
      </c>
      <c r="C871" s="6">
        <f t="shared" si="1"/>
        <v>0</v>
      </c>
    </row>
    <row r="872" hidden="1">
      <c r="A872" s="13">
        <v>45548.0</v>
      </c>
      <c r="B872" s="1">
        <v>3.663</v>
      </c>
      <c r="C872" s="6">
        <f t="shared" si="1"/>
        <v>1</v>
      </c>
    </row>
    <row r="873" hidden="1">
      <c r="A873" s="13">
        <v>45551.0</v>
      </c>
      <c r="B873" s="1">
        <v>3.662</v>
      </c>
      <c r="C873" s="6">
        <f t="shared" si="1"/>
        <v>2</v>
      </c>
    </row>
    <row r="874" hidden="1">
      <c r="A874" s="13">
        <v>45552.0</v>
      </c>
      <c r="B874" s="1">
        <v>3.665</v>
      </c>
      <c r="C874" s="6">
        <f t="shared" si="1"/>
        <v>3</v>
      </c>
    </row>
    <row r="875" hidden="1">
      <c r="A875" s="13">
        <v>45553.0</v>
      </c>
      <c r="B875" s="1">
        <v>3.416</v>
      </c>
      <c r="C875" s="6">
        <f t="shared" si="1"/>
        <v>4</v>
      </c>
    </row>
    <row r="876">
      <c r="A876" s="13">
        <v>45554.0</v>
      </c>
      <c r="B876" s="1">
        <v>3.414</v>
      </c>
      <c r="C876" s="6">
        <f t="shared" si="1"/>
        <v>0</v>
      </c>
    </row>
    <row r="877" hidden="1">
      <c r="A877" s="13">
        <v>45555.0</v>
      </c>
      <c r="B877" s="1">
        <v>3.412</v>
      </c>
      <c r="C877" s="6">
        <f t="shared" si="1"/>
        <v>1</v>
      </c>
    </row>
    <row r="878" hidden="1">
      <c r="A878" s="13">
        <v>45558.0</v>
      </c>
      <c r="B878" s="1">
        <v>3.414</v>
      </c>
      <c r="C878" s="6">
        <f t="shared" si="1"/>
        <v>2</v>
      </c>
    </row>
    <row r="879" hidden="1">
      <c r="A879" s="13">
        <v>45559.0</v>
      </c>
      <c r="B879" s="1">
        <v>3.415</v>
      </c>
      <c r="C879" s="6">
        <f t="shared" si="1"/>
        <v>3</v>
      </c>
    </row>
    <row r="880" hidden="1">
      <c r="A880" s="13">
        <v>45560.0</v>
      </c>
      <c r="B880" s="1">
        <v>3.416</v>
      </c>
      <c r="C880" s="6">
        <f t="shared" si="1"/>
        <v>4</v>
      </c>
    </row>
    <row r="881">
      <c r="A881" s="13">
        <v>45561.0</v>
      </c>
      <c r="B881" s="1">
        <v>3.415</v>
      </c>
      <c r="C881" s="6">
        <f t="shared" si="1"/>
        <v>0</v>
      </c>
    </row>
    <row r="882" hidden="1">
      <c r="A882" s="13">
        <v>45562.0</v>
      </c>
      <c r="B882" s="1">
        <v>3.415</v>
      </c>
      <c r="C882" s="6">
        <f t="shared" si="1"/>
        <v>1</v>
      </c>
    </row>
    <row r="883" hidden="1">
      <c r="A883" s="13">
        <v>45565.0</v>
      </c>
      <c r="B883" s="1">
        <v>3.41</v>
      </c>
      <c r="C883" s="6">
        <f t="shared" si="1"/>
        <v>2</v>
      </c>
    </row>
    <row r="884" hidden="1">
      <c r="A884" s="13">
        <v>45566.0</v>
      </c>
      <c r="B884" s="1">
        <v>3.416</v>
      </c>
      <c r="C884" s="6">
        <f t="shared" si="1"/>
        <v>3</v>
      </c>
    </row>
    <row r="885" hidden="1">
      <c r="A885" s="13">
        <v>45567.0</v>
      </c>
      <c r="B885" s="1">
        <v>3.41</v>
      </c>
      <c r="C885" s="6">
        <f t="shared" si="1"/>
        <v>4</v>
      </c>
    </row>
    <row r="886">
      <c r="A886" s="13">
        <v>45568.0</v>
      </c>
      <c r="B886" s="1">
        <v>3.407</v>
      </c>
      <c r="C886" s="6">
        <f t="shared" si="1"/>
        <v>0</v>
      </c>
    </row>
    <row r="887" hidden="1">
      <c r="A887" s="13">
        <v>45569.0</v>
      </c>
      <c r="B887" s="1">
        <v>3.414</v>
      </c>
      <c r="C887" s="6">
        <f t="shared" si="1"/>
        <v>1</v>
      </c>
    </row>
    <row r="888" hidden="1">
      <c r="A888" s="13">
        <v>45572.0</v>
      </c>
      <c r="B888" s="1">
        <v>3.413</v>
      </c>
      <c r="C888" s="6">
        <f t="shared" si="1"/>
        <v>2</v>
      </c>
    </row>
    <row r="889" hidden="1">
      <c r="A889" s="13">
        <v>45573.0</v>
      </c>
      <c r="B889" s="1">
        <v>3.414</v>
      </c>
      <c r="C889" s="6">
        <f t="shared" si="1"/>
        <v>3</v>
      </c>
    </row>
    <row r="890" hidden="1">
      <c r="A890" s="13">
        <v>45574.0</v>
      </c>
      <c r="B890" s="1">
        <v>3.415</v>
      </c>
      <c r="C890" s="6">
        <f t="shared" si="1"/>
        <v>4</v>
      </c>
    </row>
    <row r="891">
      <c r="A891" s="13">
        <v>45575.0</v>
      </c>
      <c r="B891" s="1">
        <v>3.414</v>
      </c>
      <c r="C891" s="6">
        <f t="shared" si="1"/>
        <v>0</v>
      </c>
    </row>
    <row r="892" hidden="1">
      <c r="A892" s="13">
        <v>45576.0</v>
      </c>
      <c r="B892" s="1">
        <v>3.413</v>
      </c>
      <c r="C892" s="6">
        <f t="shared" si="1"/>
        <v>1</v>
      </c>
    </row>
    <row r="893" hidden="1">
      <c r="A893" s="13">
        <v>45579.0</v>
      </c>
      <c r="B893" s="1">
        <v>3.413</v>
      </c>
      <c r="C893" s="6">
        <f t="shared" si="1"/>
        <v>2</v>
      </c>
    </row>
    <row r="894" hidden="1">
      <c r="A894" s="13">
        <v>45580.0</v>
      </c>
      <c r="B894" s="1">
        <v>3.413</v>
      </c>
      <c r="C894" s="6">
        <f t="shared" si="1"/>
        <v>3</v>
      </c>
    </row>
    <row r="895" hidden="1">
      <c r="A895" s="13">
        <v>45581.0</v>
      </c>
      <c r="B895" s="1">
        <v>3.414</v>
      </c>
      <c r="C895" s="6">
        <f t="shared" si="1"/>
        <v>4</v>
      </c>
    </row>
    <row r="896">
      <c r="A896" s="13">
        <v>45582.0</v>
      </c>
      <c r="B896" s="1">
        <v>3.415</v>
      </c>
      <c r="C896" s="6">
        <f t="shared" si="1"/>
        <v>0</v>
      </c>
    </row>
    <row r="897" hidden="1">
      <c r="A897" s="13">
        <v>45583.0</v>
      </c>
      <c r="B897" s="1">
        <v>3.415</v>
      </c>
      <c r="C897" s="6">
        <f t="shared" si="1"/>
        <v>1</v>
      </c>
    </row>
    <row r="898" hidden="1">
      <c r="A898" s="13">
        <v>45586.0</v>
      </c>
      <c r="B898" s="1">
        <v>3.415</v>
      </c>
      <c r="C898" s="6">
        <f t="shared" si="1"/>
        <v>2</v>
      </c>
    </row>
    <row r="899" hidden="1">
      <c r="A899" s="13">
        <v>45587.0</v>
      </c>
      <c r="B899" s="1">
        <v>3.416</v>
      </c>
      <c r="C899" s="6">
        <f t="shared" si="1"/>
        <v>3</v>
      </c>
    </row>
    <row r="900" hidden="1">
      <c r="A900" s="13">
        <v>45588.0</v>
      </c>
      <c r="B900" s="1">
        <v>3.166</v>
      </c>
      <c r="C900" s="6">
        <f t="shared" si="1"/>
        <v>4</v>
      </c>
    </row>
    <row r="901">
      <c r="A901" s="13">
        <v>45589.0</v>
      </c>
      <c r="B901" s="1">
        <v>3.166</v>
      </c>
      <c r="C901" s="6">
        <f t="shared" si="1"/>
        <v>0</v>
      </c>
    </row>
    <row r="902" hidden="1">
      <c r="A902" s="13">
        <v>45590.0</v>
      </c>
      <c r="B902" s="1">
        <v>3.166</v>
      </c>
      <c r="C902" s="6">
        <f t="shared" si="1"/>
        <v>1</v>
      </c>
    </row>
    <row r="903" hidden="1">
      <c r="A903" s="13">
        <v>45593.0</v>
      </c>
      <c r="B903" s="1">
        <v>3.164</v>
      </c>
      <c r="C903" s="6">
        <f t="shared" si="1"/>
        <v>2</v>
      </c>
    </row>
    <row r="904" hidden="1">
      <c r="A904" s="13">
        <v>45594.0</v>
      </c>
      <c r="B904" s="1">
        <v>3.164</v>
      </c>
      <c r="C904" s="6">
        <f t="shared" si="1"/>
        <v>3</v>
      </c>
    </row>
    <row r="905" hidden="1">
      <c r="A905" s="13">
        <v>45595.0</v>
      </c>
      <c r="B905" s="1">
        <v>3.165</v>
      </c>
      <c r="C905" s="6">
        <f t="shared" si="1"/>
        <v>4</v>
      </c>
    </row>
    <row r="906">
      <c r="A906" s="13">
        <v>45596.0</v>
      </c>
      <c r="B906" s="1">
        <v>3.155</v>
      </c>
      <c r="C906" s="6">
        <f t="shared" si="1"/>
        <v>0</v>
      </c>
    </row>
    <row r="907" hidden="1">
      <c r="A907" s="13">
        <v>45597.0</v>
      </c>
      <c r="B907" s="1">
        <v>3.163</v>
      </c>
      <c r="C907" s="6">
        <f t="shared" si="1"/>
        <v>1</v>
      </c>
    </row>
    <row r="908" hidden="1">
      <c r="A908" s="13">
        <v>45600.0</v>
      </c>
      <c r="B908" s="1">
        <v>3.163</v>
      </c>
      <c r="C908" s="6">
        <f t="shared" si="1"/>
        <v>2</v>
      </c>
    </row>
    <row r="909" hidden="1">
      <c r="A909" s="13">
        <v>45601.0</v>
      </c>
      <c r="B909" s="1">
        <v>3.163</v>
      </c>
      <c r="C909" s="6">
        <f t="shared" si="1"/>
        <v>3</v>
      </c>
    </row>
    <row r="910" hidden="1">
      <c r="A910" s="13">
        <v>45602.0</v>
      </c>
      <c r="B910" s="1">
        <v>3.162</v>
      </c>
      <c r="C910" s="6">
        <f t="shared" si="1"/>
        <v>4</v>
      </c>
    </row>
    <row r="911">
      <c r="A911" s="13">
        <v>45603.0</v>
      </c>
      <c r="B911" s="1">
        <v>3.163</v>
      </c>
      <c r="C911" s="6">
        <f t="shared" si="1"/>
        <v>0</v>
      </c>
    </row>
    <row r="912" hidden="1">
      <c r="A912" s="13">
        <v>45604.0</v>
      </c>
      <c r="B912" s="1">
        <v>3.163</v>
      </c>
      <c r="C912" s="6">
        <f t="shared" si="1"/>
        <v>1</v>
      </c>
    </row>
    <row r="913" hidden="1">
      <c r="A913" s="13">
        <v>45607.0</v>
      </c>
      <c r="B913" s="1">
        <v>3.162</v>
      </c>
      <c r="C913" s="6">
        <f t="shared" si="1"/>
        <v>2</v>
      </c>
    </row>
    <row r="914" hidden="1">
      <c r="A914" s="13">
        <v>45608.0</v>
      </c>
      <c r="B914" s="1">
        <v>3.163</v>
      </c>
      <c r="C914" s="6">
        <f t="shared" si="1"/>
        <v>3</v>
      </c>
    </row>
    <row r="915" hidden="1">
      <c r="A915" s="13">
        <v>45609.0</v>
      </c>
      <c r="B915" s="1">
        <v>3.164</v>
      </c>
      <c r="C915" s="6">
        <f t="shared" si="1"/>
        <v>4</v>
      </c>
    </row>
    <row r="916">
      <c r="A916" s="13">
        <v>45610.0</v>
      </c>
      <c r="B916" s="1">
        <v>3.165</v>
      </c>
      <c r="C916" s="6">
        <f t="shared" si="1"/>
        <v>0</v>
      </c>
    </row>
    <row r="917" hidden="1">
      <c r="A917" s="13">
        <v>45611.0</v>
      </c>
      <c r="B917" s="1">
        <v>3.165</v>
      </c>
      <c r="C917" s="6">
        <f t="shared" si="1"/>
        <v>1</v>
      </c>
    </row>
    <row r="918" hidden="1">
      <c r="A918" s="13">
        <v>45614.0</v>
      </c>
      <c r="B918" s="1">
        <v>3.165</v>
      </c>
      <c r="C918" s="6">
        <f t="shared" si="1"/>
        <v>2</v>
      </c>
    </row>
    <row r="919" hidden="1">
      <c r="A919" s="13">
        <v>45615.0</v>
      </c>
      <c r="B919" s="1">
        <v>3.166</v>
      </c>
      <c r="C919" s="6">
        <f t="shared" si="1"/>
        <v>3</v>
      </c>
    </row>
    <row r="920" hidden="1">
      <c r="A920" s="13">
        <v>45616.0</v>
      </c>
      <c r="B920" s="1">
        <v>3.167</v>
      </c>
      <c r="C920" s="6">
        <f t="shared" si="1"/>
        <v>4</v>
      </c>
    </row>
    <row r="921">
      <c r="A921" s="13">
        <v>45617.0</v>
      </c>
      <c r="B921" s="1">
        <v>3.167</v>
      </c>
      <c r="C921" s="6">
        <f t="shared" si="1"/>
        <v>0</v>
      </c>
    </row>
    <row r="922" hidden="1">
      <c r="A922" s="13">
        <v>45618.0</v>
      </c>
      <c r="B922" s="1">
        <v>3.168</v>
      </c>
      <c r="C922" s="6">
        <f t="shared" si="1"/>
        <v>1</v>
      </c>
    </row>
    <row r="923" hidden="1">
      <c r="A923" s="13">
        <v>45621.0</v>
      </c>
      <c r="B923" s="1">
        <v>3.167</v>
      </c>
      <c r="C923" s="6">
        <f t="shared" si="1"/>
        <v>2</v>
      </c>
    </row>
    <row r="924" hidden="1">
      <c r="A924" s="13">
        <v>45622.0</v>
      </c>
      <c r="B924" s="1">
        <v>3.165</v>
      </c>
      <c r="C924" s="6">
        <f t="shared" si="1"/>
        <v>3</v>
      </c>
    </row>
    <row r="925" hidden="1">
      <c r="A925" s="13">
        <v>45623.0</v>
      </c>
      <c r="B925" s="1">
        <v>3.165</v>
      </c>
      <c r="C925" s="6">
        <f t="shared" si="1"/>
        <v>4</v>
      </c>
    </row>
    <row r="926">
      <c r="A926" s="13">
        <v>45624.0</v>
      </c>
      <c r="B926" s="1">
        <v>3.164</v>
      </c>
      <c r="C926" s="6">
        <f t="shared" si="1"/>
        <v>0</v>
      </c>
    </row>
    <row r="927" hidden="1">
      <c r="A927" s="13">
        <v>45625.0</v>
      </c>
      <c r="B927" s="1">
        <v>3.163</v>
      </c>
      <c r="C927" s="6">
        <f t="shared" si="1"/>
        <v>1</v>
      </c>
    </row>
    <row r="928" hidden="1">
      <c r="A928" s="13">
        <v>45628.0</v>
      </c>
      <c r="B928" s="1">
        <v>3.165</v>
      </c>
      <c r="C928" s="6">
        <f t="shared" si="1"/>
        <v>2</v>
      </c>
    </row>
    <row r="929" hidden="1">
      <c r="A929" s="13">
        <v>45629.0</v>
      </c>
      <c r="B929" s="1">
        <v>3.164</v>
      </c>
      <c r="C929" s="6">
        <f t="shared" si="1"/>
        <v>3</v>
      </c>
    </row>
    <row r="930" hidden="1">
      <c r="A930" s="13">
        <v>45630.0</v>
      </c>
      <c r="B930" s="1">
        <v>3.165</v>
      </c>
      <c r="C930" s="6">
        <f t="shared" si="1"/>
        <v>4</v>
      </c>
    </row>
    <row r="931">
      <c r="A931" s="13">
        <v>45631.0</v>
      </c>
      <c r="B931" s="1">
        <v>3.165</v>
      </c>
      <c r="C931" s="6">
        <f t="shared" si="1"/>
        <v>0</v>
      </c>
    </row>
    <row r="932" hidden="1">
      <c r="A932" s="13">
        <v>45632.0</v>
      </c>
      <c r="B932" s="1">
        <v>3.165</v>
      </c>
      <c r="C932" s="6">
        <f t="shared" si="1"/>
        <v>1</v>
      </c>
    </row>
    <row r="933" hidden="1">
      <c r="A933" s="13">
        <v>45635.0</v>
      </c>
      <c r="B933" s="1">
        <v>3.164</v>
      </c>
      <c r="C933" s="6">
        <f t="shared" si="1"/>
        <v>2</v>
      </c>
    </row>
    <row r="934" hidden="1">
      <c r="A934" s="13">
        <v>45636.0</v>
      </c>
      <c r="B934" s="1">
        <v>3.163</v>
      </c>
      <c r="C934" s="6">
        <f t="shared" si="1"/>
        <v>3</v>
      </c>
    </row>
    <row r="935" hidden="1">
      <c r="A935" s="13">
        <v>45637.0</v>
      </c>
      <c r="B935" s="1">
        <v>3.164</v>
      </c>
      <c r="C935" s="6">
        <f t="shared" si="1"/>
        <v>4</v>
      </c>
    </row>
    <row r="936">
      <c r="A936" s="13">
        <v>45638.0</v>
      </c>
      <c r="B936" s="1">
        <v>3.164</v>
      </c>
      <c r="C936" s="6">
        <f t="shared" si="1"/>
        <v>0</v>
      </c>
    </row>
    <row r="937" hidden="1">
      <c r="A937" s="13">
        <v>45639.0</v>
      </c>
      <c r="B937" s="1">
        <v>3.167</v>
      </c>
      <c r="C937" s="6">
        <f t="shared" si="1"/>
        <v>1</v>
      </c>
    </row>
    <row r="938" hidden="1">
      <c r="A938" s="13">
        <v>45642.0</v>
      </c>
      <c r="B938" s="1">
        <v>3.165</v>
      </c>
      <c r="C938" s="6">
        <f t="shared" si="1"/>
        <v>2</v>
      </c>
    </row>
    <row r="939" hidden="1">
      <c r="A939" s="13">
        <v>45643.0</v>
      </c>
      <c r="B939" s="1">
        <v>3.164</v>
      </c>
      <c r="C939" s="6">
        <f t="shared" si="1"/>
        <v>3</v>
      </c>
    </row>
    <row r="940" hidden="1">
      <c r="A940" s="13">
        <v>45644.0</v>
      </c>
      <c r="B940" s="1">
        <v>2.917</v>
      </c>
      <c r="C940" s="6">
        <f t="shared" si="1"/>
        <v>4</v>
      </c>
    </row>
    <row r="941">
      <c r="A941" s="13">
        <v>45645.0</v>
      </c>
      <c r="B941" s="1">
        <v>2.919</v>
      </c>
      <c r="C941" s="6">
        <f t="shared" si="1"/>
        <v>0</v>
      </c>
    </row>
    <row r="942" hidden="1">
      <c r="A942" s="13">
        <v>45646.0</v>
      </c>
      <c r="B942" s="1">
        <v>2.916</v>
      </c>
      <c r="C942" s="6">
        <f t="shared" si="1"/>
        <v>1</v>
      </c>
    </row>
    <row r="943" hidden="1">
      <c r="A943" s="13">
        <v>45649.0</v>
      </c>
      <c r="B943" s="1">
        <v>2.911</v>
      </c>
      <c r="C943" s="6">
        <f t="shared" si="1"/>
        <v>2</v>
      </c>
    </row>
    <row r="944" hidden="1">
      <c r="A944" s="13">
        <v>45650.0</v>
      </c>
      <c r="B944" s="1">
        <v>2.909</v>
      </c>
      <c r="C944" s="6">
        <f t="shared" si="1"/>
        <v>3</v>
      </c>
    </row>
    <row r="945" hidden="1">
      <c r="A945" s="13">
        <v>45653.0</v>
      </c>
      <c r="B945" s="1">
        <v>2.916</v>
      </c>
      <c r="C945" s="6">
        <f t="shared" si="1"/>
        <v>4</v>
      </c>
    </row>
    <row r="946">
      <c r="A946" s="13">
        <v>45656.0</v>
      </c>
      <c r="B946" s="1">
        <v>2.915</v>
      </c>
      <c r="C946" s="6">
        <f t="shared" si="1"/>
        <v>0</v>
      </c>
    </row>
    <row r="947" hidden="1">
      <c r="A947" s="13">
        <v>45657.0</v>
      </c>
      <c r="B947" s="1">
        <v>2.905</v>
      </c>
      <c r="C947" s="6">
        <f t="shared" si="1"/>
        <v>1</v>
      </c>
    </row>
    <row r="948" hidden="1">
      <c r="A948" s="13">
        <v>45659.0</v>
      </c>
      <c r="B948" s="1">
        <v>2.92</v>
      </c>
      <c r="C948" s="6">
        <f t="shared" si="1"/>
        <v>2</v>
      </c>
    </row>
    <row r="949" hidden="1">
      <c r="A949" s="13">
        <v>45660.0</v>
      </c>
      <c r="B949" s="1">
        <v>2.919</v>
      </c>
      <c r="C949" s="6">
        <f t="shared" si="1"/>
        <v>3</v>
      </c>
    </row>
    <row r="950" hidden="1">
      <c r="A950" s="13">
        <v>45663.0</v>
      </c>
      <c r="B950" s="1">
        <v>2.917</v>
      </c>
      <c r="C950" s="6">
        <f t="shared" si="1"/>
        <v>4</v>
      </c>
    </row>
    <row r="951">
      <c r="A951" s="13">
        <v>45664.0</v>
      </c>
      <c r="B951" s="1">
        <v>2.918</v>
      </c>
      <c r="C951" s="6">
        <f t="shared" si="1"/>
        <v>0</v>
      </c>
    </row>
    <row r="952" hidden="1">
      <c r="A952" s="13">
        <v>45665.0</v>
      </c>
      <c r="B952" s="1">
        <v>2.917</v>
      </c>
      <c r="C952" s="6">
        <f t="shared" si="1"/>
        <v>1</v>
      </c>
    </row>
    <row r="953" hidden="1">
      <c r="A953" s="13">
        <v>45666.0</v>
      </c>
      <c r="B953" s="1">
        <v>2.92</v>
      </c>
      <c r="C953" s="6">
        <f t="shared" si="1"/>
        <v>2</v>
      </c>
    </row>
    <row r="954" hidden="1"/>
    <row r="955" hidden="1"/>
    <row r="956" hidden="1"/>
    <row r="957" hidden="1"/>
    <row r="958" hidden="1"/>
    <row r="959" hidden="1"/>
    <row r="960" hidden="1"/>
    <row r="961" hidden="1"/>
    <row r="962" hidden="1"/>
    <row r="963" hidden="1"/>
    <row r="964" hidden="1"/>
    <row r="965" hidden="1"/>
    <row r="966" hidden="1"/>
    <row r="967" hidden="1"/>
    <row r="968" hidden="1"/>
    <row r="969" hidden="1"/>
    <row r="970" hidden="1"/>
    <row r="971" hidden="1"/>
    <row r="972" hidden="1"/>
    <row r="973" hidden="1"/>
    <row r="974" hidden="1"/>
    <row r="975" hidden="1"/>
    <row r="976" hidden="1"/>
    <row r="977" hidden="1"/>
    <row r="978" hidden="1"/>
    <row r="979" hidden="1"/>
    <row r="980" hidden="1"/>
    <row r="981" hidden="1"/>
    <row r="982" hidden="1"/>
    <row r="983" hidden="1"/>
    <row r="984" hidden="1"/>
    <row r="985" hidden="1"/>
    <row r="986" hidden="1"/>
    <row r="987" hidden="1"/>
    <row r="988" hidden="1"/>
    <row r="989" hidden="1"/>
    <row r="990" hidden="1"/>
    <row r="991" hidden="1"/>
    <row r="992" hidden="1"/>
    <row r="993" hidden="1"/>
    <row r="994" hidden="1"/>
    <row r="995" hidden="1"/>
    <row r="996" hidden="1"/>
    <row r="997" hidden="1"/>
    <row r="998" hidden="1"/>
    <row r="999" hidden="1"/>
    <row r="1000" hidden="1"/>
  </sheetData>
  <autoFilter ref="$C$1:$C$1000">
    <filterColumn colId="0">
      <filters>
        <filter val="0"/>
      </filters>
    </filterColumn>
  </autoFil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</row>
    <row r="2">
      <c r="A2" s="3"/>
      <c r="B2" s="3">
        <v>0.288</v>
      </c>
      <c r="C2" s="3">
        <v>0.289</v>
      </c>
      <c r="D2" s="3">
        <v>0.335</v>
      </c>
      <c r="E2" s="3">
        <v>0.252</v>
      </c>
      <c r="F2" s="8">
        <v>-0.0303</v>
      </c>
    </row>
    <row r="3">
      <c r="A3" s="12">
        <v>44310.0</v>
      </c>
      <c r="B3" s="3">
        <v>0.357</v>
      </c>
      <c r="C3" s="3">
        <v>0.297</v>
      </c>
      <c r="D3" s="3">
        <v>0.377</v>
      </c>
      <c r="E3" s="3">
        <v>0.275</v>
      </c>
      <c r="F3" s="10">
        <f>+23.96%</f>
        <v>0.2396</v>
      </c>
    </row>
    <row r="4">
      <c r="A4" s="7">
        <v>44317.0</v>
      </c>
      <c r="B4" s="3">
        <v>0.347</v>
      </c>
      <c r="C4" s="3">
        <v>0.361</v>
      </c>
      <c r="D4" s="3">
        <v>0.396</v>
      </c>
      <c r="E4" s="3">
        <v>0.297</v>
      </c>
      <c r="F4" s="8">
        <v>-0.028</v>
      </c>
    </row>
    <row r="5">
      <c r="A5" s="7">
        <v>44324.0</v>
      </c>
      <c r="B5" s="3">
        <v>0.438</v>
      </c>
      <c r="C5" s="3">
        <v>0.357</v>
      </c>
      <c r="D5" s="3">
        <v>0.472</v>
      </c>
      <c r="E5" s="3">
        <v>0.345</v>
      </c>
      <c r="F5" s="10">
        <f>+26.22%</f>
        <v>0.2622</v>
      </c>
    </row>
    <row r="6">
      <c r="A6" s="9">
        <v>44331.0</v>
      </c>
      <c r="B6" s="3">
        <v>0.424</v>
      </c>
      <c r="C6" s="3">
        <v>0.428</v>
      </c>
      <c r="D6" s="3">
        <v>0.497</v>
      </c>
      <c r="E6" s="3">
        <v>0.407</v>
      </c>
      <c r="F6" s="8">
        <v>-0.032</v>
      </c>
    </row>
    <row r="7">
      <c r="A7" s="9">
        <v>44338.0</v>
      </c>
      <c r="B7" s="3">
        <v>0.383</v>
      </c>
      <c r="C7" s="3">
        <v>0.414</v>
      </c>
      <c r="D7" s="3">
        <v>0.441</v>
      </c>
      <c r="E7" s="3">
        <v>0.341</v>
      </c>
      <c r="F7" s="8">
        <v>-0.0967</v>
      </c>
    </row>
    <row r="8">
      <c r="A8" s="9">
        <v>44345.0</v>
      </c>
      <c r="B8" s="3">
        <v>0.357</v>
      </c>
      <c r="C8" s="3">
        <v>0.396</v>
      </c>
      <c r="D8" s="3">
        <v>0.417</v>
      </c>
      <c r="E8" s="3">
        <v>0.345</v>
      </c>
      <c r="F8" s="8">
        <v>-0.0679</v>
      </c>
    </row>
    <row r="9">
      <c r="A9" s="11">
        <v>44352.0</v>
      </c>
      <c r="B9" s="3">
        <v>0.291</v>
      </c>
      <c r="C9" s="3">
        <v>0.349</v>
      </c>
      <c r="D9" s="3">
        <v>0.373</v>
      </c>
      <c r="E9" s="3">
        <v>0.273</v>
      </c>
      <c r="F9" s="8">
        <v>-0.1849</v>
      </c>
    </row>
    <row r="10">
      <c r="A10" s="12">
        <v>44359.0</v>
      </c>
      <c r="B10" s="3">
        <v>0.252</v>
      </c>
      <c r="C10" s="3">
        <v>0.288</v>
      </c>
      <c r="D10" s="3">
        <v>0.35</v>
      </c>
      <c r="E10" s="3">
        <v>0.229</v>
      </c>
      <c r="F10" s="8">
        <v>-0.134</v>
      </c>
    </row>
    <row r="11">
      <c r="A11" s="12">
        <v>44366.0</v>
      </c>
      <c r="B11" s="3">
        <v>0.346</v>
      </c>
      <c r="C11" s="3">
        <v>0.221</v>
      </c>
      <c r="D11" s="3">
        <v>0.352</v>
      </c>
      <c r="E11" s="3">
        <v>0.221</v>
      </c>
      <c r="F11" s="10">
        <f>+37.3%</f>
        <v>0.373</v>
      </c>
    </row>
    <row r="12">
      <c r="A12" s="12">
        <v>44373.0</v>
      </c>
      <c r="B12" s="3">
        <v>0.277</v>
      </c>
      <c r="C12" s="3">
        <v>0.343</v>
      </c>
      <c r="D12" s="3">
        <v>0.349</v>
      </c>
      <c r="E12" s="3">
        <v>0.264</v>
      </c>
      <c r="F12" s="8">
        <v>-0.1994</v>
      </c>
    </row>
    <row r="13">
      <c r="A13" s="11">
        <v>44380.0</v>
      </c>
      <c r="B13" s="3">
        <v>0.208</v>
      </c>
      <c r="C13" s="3">
        <v>0.273</v>
      </c>
      <c r="D13" s="3">
        <v>0.31</v>
      </c>
      <c r="E13" s="3">
        <v>0.134</v>
      </c>
      <c r="F13" s="8">
        <v>-0.2491</v>
      </c>
    </row>
    <row r="14">
      <c r="A14" s="12">
        <v>44387.0</v>
      </c>
      <c r="B14" s="3">
        <v>0.132</v>
      </c>
      <c r="C14" s="3">
        <v>0.206</v>
      </c>
      <c r="D14" s="3">
        <v>0.235</v>
      </c>
      <c r="E14" s="3">
        <v>0.127</v>
      </c>
      <c r="F14" s="8">
        <v>-0.3654</v>
      </c>
    </row>
    <row r="15">
      <c r="A15" s="12">
        <v>44394.0</v>
      </c>
      <c r="B15" s="3">
        <v>0.067</v>
      </c>
      <c r="C15" s="3">
        <v>0.11</v>
      </c>
      <c r="D15" s="3">
        <v>0.123</v>
      </c>
      <c r="E15" s="3">
        <v>0.015</v>
      </c>
      <c r="F15" s="8">
        <v>-0.4924</v>
      </c>
    </row>
    <row r="16">
      <c r="A16" s="12">
        <v>44401.0</v>
      </c>
      <c r="B16" s="3">
        <v>0.023</v>
      </c>
      <c r="C16" s="3">
        <v>0.057</v>
      </c>
      <c r="D16" s="3">
        <v>0.085</v>
      </c>
      <c r="E16" s="3">
        <v>0.019</v>
      </c>
      <c r="F16" s="8">
        <v>-0.6567</v>
      </c>
    </row>
    <row r="17">
      <c r="A17" s="12">
        <v>44408.0</v>
      </c>
      <c r="B17" s="3">
        <v>0.005</v>
      </c>
      <c r="C17" s="3">
        <v>0.022</v>
      </c>
      <c r="D17" s="3">
        <v>0.04</v>
      </c>
      <c r="E17" s="3">
        <v>-0.071</v>
      </c>
      <c r="F17" s="8">
        <v>-0.7826</v>
      </c>
    </row>
    <row r="18">
      <c r="A18" s="11">
        <v>44415.0</v>
      </c>
      <c r="B18" s="3">
        <v>-0.017</v>
      </c>
      <c r="C18" s="3">
        <v>-0.011</v>
      </c>
      <c r="D18" s="3">
        <v>0.018</v>
      </c>
      <c r="E18" s="3">
        <v>-0.037</v>
      </c>
      <c r="F18" s="8">
        <v>-4.4</v>
      </c>
    </row>
    <row r="19">
      <c r="A19" s="12">
        <v>44422.0</v>
      </c>
      <c r="B19" s="3">
        <v>-0.049</v>
      </c>
      <c r="C19" s="3">
        <v>-0.022</v>
      </c>
      <c r="D19" s="3">
        <v>-0.001</v>
      </c>
      <c r="E19" s="3">
        <v>-0.065</v>
      </c>
      <c r="F19" s="10">
        <f>+188.24%</f>
        <v>1.8824</v>
      </c>
    </row>
    <row r="20">
      <c r="A20" s="12">
        <v>44429.0</v>
      </c>
      <c r="B20" s="3">
        <v>0.053</v>
      </c>
      <c r="C20" s="3">
        <v>-0.04</v>
      </c>
      <c r="D20" s="3">
        <v>0.07</v>
      </c>
      <c r="E20" s="3">
        <v>-0.053</v>
      </c>
      <c r="F20" s="8">
        <v>-2.0816</v>
      </c>
    </row>
    <row r="21">
      <c r="A21" s="12">
        <v>44436.0</v>
      </c>
      <c r="B21" s="3">
        <v>0.142</v>
      </c>
      <c r="C21" s="3">
        <v>0.045</v>
      </c>
      <c r="D21" s="3">
        <v>0.159</v>
      </c>
      <c r="E21" s="3">
        <v>0.023</v>
      </c>
      <c r="F21" s="10">
        <f>+167.92%</f>
        <v>1.6792</v>
      </c>
    </row>
    <row r="22">
      <c r="A22" s="11">
        <v>44443.0</v>
      </c>
      <c r="B22" s="3">
        <v>0.157</v>
      </c>
      <c r="C22" s="3">
        <v>0.142</v>
      </c>
      <c r="D22" s="3">
        <v>0.186</v>
      </c>
      <c r="E22" s="3">
        <v>0.119</v>
      </c>
      <c r="F22" s="10">
        <f>+10.56%</f>
        <v>0.1056</v>
      </c>
    </row>
    <row r="23">
      <c r="A23" s="12">
        <v>44450.0</v>
      </c>
      <c r="B23" s="3">
        <v>0.242</v>
      </c>
      <c r="C23" s="3">
        <v>0.15</v>
      </c>
      <c r="D23" s="3">
        <v>0.26</v>
      </c>
      <c r="E23" s="3">
        <v>0.137</v>
      </c>
      <c r="F23" s="10">
        <f>+54.14%</f>
        <v>0.5414</v>
      </c>
    </row>
    <row r="24">
      <c r="A24" s="12">
        <v>44457.0</v>
      </c>
      <c r="B24" s="3">
        <v>0.287</v>
      </c>
      <c r="C24" s="3">
        <v>0.245</v>
      </c>
      <c r="D24" s="3">
        <v>0.296</v>
      </c>
      <c r="E24" s="3">
        <v>0.178</v>
      </c>
      <c r="F24" s="10">
        <f>+18.6%</f>
        <v>0.186</v>
      </c>
    </row>
    <row r="25">
      <c r="A25" s="12">
        <v>44464.0</v>
      </c>
      <c r="B25" s="3">
        <v>0.292</v>
      </c>
      <c r="C25" s="3">
        <v>0.269</v>
      </c>
      <c r="D25" s="3">
        <v>0.323</v>
      </c>
      <c r="E25" s="3">
        <v>0.258</v>
      </c>
      <c r="F25" s="10">
        <f>+1.74%</f>
        <v>0.0174</v>
      </c>
    </row>
    <row r="26">
      <c r="A26" s="11">
        <v>44471.0</v>
      </c>
      <c r="B26" s="3">
        <v>0.357</v>
      </c>
      <c r="C26" s="3">
        <v>0.282</v>
      </c>
      <c r="D26" s="3">
        <v>0.364</v>
      </c>
      <c r="E26" s="3">
        <v>0.274</v>
      </c>
      <c r="F26" s="10">
        <f>+22.26%</f>
        <v>0.2226</v>
      </c>
    </row>
    <row r="27">
      <c r="A27" s="11">
        <v>44478.0</v>
      </c>
      <c r="B27" s="3">
        <v>0.274</v>
      </c>
      <c r="C27" s="3">
        <v>0.376</v>
      </c>
      <c r="D27" s="3">
        <v>0.408</v>
      </c>
      <c r="E27" s="3">
        <v>0.264</v>
      </c>
      <c r="F27" s="8">
        <v>-0.2325</v>
      </c>
    </row>
    <row r="28">
      <c r="A28" s="12">
        <v>44485.0</v>
      </c>
      <c r="B28" s="3">
        <v>0.253</v>
      </c>
      <c r="C28" s="3">
        <v>0.282</v>
      </c>
      <c r="D28" s="3">
        <v>0.307</v>
      </c>
      <c r="E28" s="3">
        <v>0.222</v>
      </c>
      <c r="F28" s="8">
        <v>-0.0766</v>
      </c>
    </row>
    <row r="29">
      <c r="A29" s="12">
        <v>44492.0</v>
      </c>
      <c r="B29" s="3">
        <v>0.141</v>
      </c>
      <c r="C29" s="3">
        <v>0.239</v>
      </c>
      <c r="D29" s="3">
        <v>0.288</v>
      </c>
      <c r="E29" s="3">
        <v>0.122</v>
      </c>
      <c r="F29" s="8">
        <v>-0.4427</v>
      </c>
    </row>
    <row r="30">
      <c r="A30" s="12">
        <v>44499.0</v>
      </c>
      <c r="B30" s="3">
        <v>0.07</v>
      </c>
      <c r="C30" s="3">
        <v>0.135</v>
      </c>
      <c r="D30" s="3">
        <v>0.193</v>
      </c>
      <c r="E30" s="3">
        <v>0.065</v>
      </c>
      <c r="F30" s="8">
        <v>-0.5035</v>
      </c>
    </row>
    <row r="31">
      <c r="A31" s="11">
        <v>44506.0</v>
      </c>
      <c r="B31" s="3">
        <v>0.069</v>
      </c>
      <c r="C31" s="3">
        <v>0.088</v>
      </c>
      <c r="D31" s="3">
        <v>0.121</v>
      </c>
      <c r="E31" s="3">
        <v>0.011</v>
      </c>
      <c r="F31" s="8">
        <v>-0.0143</v>
      </c>
    </row>
    <row r="32">
      <c r="A32" s="12">
        <v>44513.0</v>
      </c>
      <c r="B32" s="3">
        <v>-0.007</v>
      </c>
      <c r="C32" s="3">
        <v>0.06</v>
      </c>
      <c r="D32" s="3">
        <v>0.118</v>
      </c>
      <c r="E32" s="3">
        <v>-0.016</v>
      </c>
      <c r="F32" s="8">
        <v>-1.1014</v>
      </c>
    </row>
    <row r="33">
      <c r="A33" s="12">
        <v>44520.0</v>
      </c>
      <c r="B33" s="3">
        <v>0.017</v>
      </c>
      <c r="C33" s="3">
        <v>0.005</v>
      </c>
      <c r="D33" s="3">
        <v>0.151</v>
      </c>
      <c r="E33" s="3">
        <v>-0.024</v>
      </c>
      <c r="F33" s="8">
        <v>-3.4286</v>
      </c>
    </row>
    <row r="34">
      <c r="A34" s="12">
        <v>44527.0</v>
      </c>
      <c r="B34" s="3">
        <v>-0.086</v>
      </c>
      <c r="C34" s="3">
        <v>0.019</v>
      </c>
      <c r="D34" s="3">
        <v>0.048</v>
      </c>
      <c r="E34" s="3">
        <v>-0.088</v>
      </c>
      <c r="F34" s="8">
        <v>-6.0588</v>
      </c>
    </row>
    <row r="35">
      <c r="A35" s="11">
        <v>44534.0</v>
      </c>
      <c r="B35" s="3">
        <v>-0.041</v>
      </c>
      <c r="C35" s="3">
        <v>-0.097</v>
      </c>
      <c r="D35" s="3">
        <v>-0.015</v>
      </c>
      <c r="E35" s="3">
        <v>-0.129</v>
      </c>
      <c r="F35" s="8">
        <v>-0.5233</v>
      </c>
    </row>
    <row r="36">
      <c r="A36" s="12">
        <v>44541.0</v>
      </c>
      <c r="B36" s="3">
        <v>-0.029</v>
      </c>
      <c r="C36" s="3">
        <v>-0.036</v>
      </c>
      <c r="D36" s="3">
        <v>0.027</v>
      </c>
      <c r="E36" s="3">
        <v>-0.08</v>
      </c>
      <c r="F36" s="8">
        <v>-0.2927</v>
      </c>
    </row>
    <row r="37">
      <c r="A37" s="12">
        <v>44548.0</v>
      </c>
      <c r="B37" s="3">
        <v>0.12</v>
      </c>
      <c r="C37" s="3">
        <v>-0.036</v>
      </c>
      <c r="D37" s="3">
        <v>0.142</v>
      </c>
      <c r="E37" s="3">
        <v>-0.068</v>
      </c>
      <c r="F37" s="8">
        <v>-5.1379</v>
      </c>
    </row>
    <row r="38">
      <c r="A38" s="12">
        <v>44555.0</v>
      </c>
      <c r="B38" s="3">
        <v>0.2</v>
      </c>
      <c r="C38" s="3">
        <v>0.118</v>
      </c>
      <c r="D38" s="3">
        <v>0.201</v>
      </c>
      <c r="E38" s="3">
        <v>0.1</v>
      </c>
      <c r="F38" s="10">
        <f>+66.67%</f>
        <v>0.6667</v>
      </c>
    </row>
    <row r="39">
      <c r="A39" s="11">
        <v>44562.0</v>
      </c>
      <c r="B39" s="3">
        <v>0.285</v>
      </c>
      <c r="C39" s="3">
        <v>0.19</v>
      </c>
      <c r="D39" s="3">
        <v>0.299</v>
      </c>
      <c r="E39" s="3">
        <v>0.175</v>
      </c>
      <c r="F39" s="10">
        <f>+42.5%</f>
        <v>0.425</v>
      </c>
    </row>
    <row r="40">
      <c r="A40" s="11">
        <v>44569.0</v>
      </c>
      <c r="B40" s="3">
        <v>0.249</v>
      </c>
      <c r="C40" s="3">
        <v>0.279</v>
      </c>
      <c r="D40" s="3">
        <v>0.306</v>
      </c>
      <c r="E40" s="3">
        <v>0.184</v>
      </c>
      <c r="F40" s="8">
        <v>-0.1263</v>
      </c>
    </row>
    <row r="41">
      <c r="A41" s="12">
        <v>44576.0</v>
      </c>
      <c r="B41" s="3">
        <v>0.232</v>
      </c>
      <c r="C41" s="3">
        <v>0.261</v>
      </c>
      <c r="D41" s="3">
        <v>0.319</v>
      </c>
      <c r="E41" s="3">
        <v>0.206</v>
      </c>
      <c r="F41" s="8">
        <v>-0.0683</v>
      </c>
    </row>
    <row r="42">
      <c r="A42" s="12">
        <v>44583.0</v>
      </c>
      <c r="B42" s="3">
        <v>0.242</v>
      </c>
      <c r="C42" s="3">
        <v>0.232</v>
      </c>
      <c r="D42" s="3">
        <v>0.277</v>
      </c>
      <c r="E42" s="3">
        <v>0.19</v>
      </c>
      <c r="F42" s="10">
        <f>+4.31%</f>
        <v>0.0431</v>
      </c>
    </row>
    <row r="43">
      <c r="A43" s="12">
        <v>44590.0</v>
      </c>
      <c r="B43" s="3">
        <v>0.356</v>
      </c>
      <c r="C43" s="3">
        <v>0.241</v>
      </c>
      <c r="D43" s="3">
        <v>0.381</v>
      </c>
      <c r="E43" s="3">
        <v>0.231</v>
      </c>
      <c r="F43" s="10">
        <f>+47.11%</f>
        <v>0.4711</v>
      </c>
    </row>
    <row r="44">
      <c r="A44" s="11">
        <v>44597.0</v>
      </c>
      <c r="B44" s="3">
        <v>0.494</v>
      </c>
      <c r="C44" s="3">
        <v>0.354</v>
      </c>
      <c r="D44" s="3">
        <v>0.495</v>
      </c>
      <c r="E44" s="3">
        <v>0.349</v>
      </c>
      <c r="F44" s="10">
        <f>+38.76%</f>
        <v>0.3876</v>
      </c>
    </row>
    <row r="45">
      <c r="A45" s="12">
        <v>44604.0</v>
      </c>
      <c r="B45" s="3">
        <v>0.482</v>
      </c>
      <c r="C45" s="3">
        <v>0.435</v>
      </c>
      <c r="D45" s="3">
        <v>0.576</v>
      </c>
      <c r="E45" s="3">
        <v>0.392</v>
      </c>
      <c r="F45" s="8">
        <v>-0.0243</v>
      </c>
    </row>
    <row r="46">
      <c r="A46" s="12">
        <v>44611.0</v>
      </c>
      <c r="B46" s="3">
        <v>0.476</v>
      </c>
      <c r="C46" s="3">
        <v>0.473</v>
      </c>
      <c r="D46" s="3">
        <v>0.536</v>
      </c>
      <c r="E46" s="3">
        <v>0.366</v>
      </c>
      <c r="F46" s="8">
        <v>-0.0124</v>
      </c>
    </row>
    <row r="47">
      <c r="A47" s="12">
        <v>44618.0</v>
      </c>
      <c r="B47" s="3">
        <v>0.141</v>
      </c>
      <c r="C47" s="3">
        <v>0.433</v>
      </c>
      <c r="D47" s="3">
        <v>0.495</v>
      </c>
      <c r="E47" s="3">
        <v>0.138</v>
      </c>
      <c r="F47" s="8">
        <v>-0.7038</v>
      </c>
    </row>
    <row r="48">
      <c r="A48" s="11">
        <v>44625.0</v>
      </c>
      <c r="B48" s="3">
        <v>0.443</v>
      </c>
      <c r="C48" s="3">
        <v>0.153</v>
      </c>
      <c r="D48" s="3">
        <v>0.483</v>
      </c>
      <c r="E48" s="3">
        <v>0.105</v>
      </c>
      <c r="F48" s="10">
        <f>+214.18%</f>
        <v>2.1418</v>
      </c>
    </row>
    <row r="49">
      <c r="A49" s="12">
        <v>44632.0</v>
      </c>
      <c r="B49" s="3">
        <v>0.561</v>
      </c>
      <c r="C49" s="3">
        <v>0.417</v>
      </c>
      <c r="D49" s="3">
        <v>0.6</v>
      </c>
      <c r="E49" s="3">
        <v>0.412</v>
      </c>
      <c r="F49" s="10">
        <f>+26.64%</f>
        <v>0.2664</v>
      </c>
    </row>
    <row r="50">
      <c r="A50" s="12">
        <v>44639.0</v>
      </c>
      <c r="B50" s="3">
        <v>0.695</v>
      </c>
      <c r="C50" s="3">
        <v>0.579</v>
      </c>
      <c r="D50" s="3">
        <v>0.72</v>
      </c>
      <c r="E50" s="3">
        <v>0.574</v>
      </c>
      <c r="F50" s="10">
        <f>+23.89%</f>
        <v>0.2389</v>
      </c>
    </row>
    <row r="51">
      <c r="A51" s="12">
        <v>44646.0</v>
      </c>
      <c r="B51" s="3">
        <v>0.688</v>
      </c>
      <c r="C51" s="3">
        <v>0.7</v>
      </c>
      <c r="D51" s="3">
        <v>0.821</v>
      </c>
      <c r="E51" s="3">
        <v>0.633</v>
      </c>
      <c r="F51" s="8">
        <v>-0.0101</v>
      </c>
    </row>
    <row r="52">
      <c r="A52" s="11">
        <v>44653.0</v>
      </c>
      <c r="B52" s="3">
        <v>0.817</v>
      </c>
      <c r="C52" s="3">
        <v>0.671</v>
      </c>
      <c r="D52" s="3">
        <v>0.844</v>
      </c>
      <c r="E52" s="3">
        <v>0.62</v>
      </c>
      <c r="F52" s="10">
        <f>+18.75%</f>
        <v>0.1875</v>
      </c>
    </row>
    <row r="53">
      <c r="A53" s="11">
        <v>44660.0</v>
      </c>
      <c r="B53" s="3">
        <v>1.013</v>
      </c>
      <c r="C53" s="3">
        <v>0.809</v>
      </c>
      <c r="D53" s="3">
        <v>1.022</v>
      </c>
      <c r="E53" s="3">
        <v>0.809</v>
      </c>
      <c r="F53" s="10">
        <f>+23.99%</f>
        <v>0.2399</v>
      </c>
    </row>
    <row r="54">
      <c r="A54" s="12">
        <v>44667.0</v>
      </c>
      <c r="B54" s="3">
        <v>1.061</v>
      </c>
      <c r="C54" s="3">
        <v>1.019</v>
      </c>
      <c r="D54" s="3">
        <v>1.125</v>
      </c>
      <c r="E54" s="3">
        <v>0.987</v>
      </c>
      <c r="F54" s="10">
        <f>+4.74%</f>
        <v>0.0474</v>
      </c>
    </row>
    <row r="55">
      <c r="A55" s="12">
        <v>44674.0</v>
      </c>
      <c r="B55" s="3">
        <v>1.087</v>
      </c>
      <c r="C55" s="3">
        <v>1.07</v>
      </c>
      <c r="D55" s="3">
        <v>1.099</v>
      </c>
      <c r="E55" s="3">
        <v>0.937</v>
      </c>
      <c r="F55" s="10">
        <f>+2.45%</f>
        <v>0.0245</v>
      </c>
    </row>
    <row r="56">
      <c r="A56" s="12">
        <v>44681.0</v>
      </c>
      <c r="B56" s="3">
        <v>1.242</v>
      </c>
      <c r="C56" s="3">
        <v>1.096</v>
      </c>
      <c r="D56" s="3">
        <v>1.258</v>
      </c>
      <c r="E56" s="3">
        <v>1.049</v>
      </c>
      <c r="F56" s="10">
        <f>+14.26%</f>
        <v>0.1426</v>
      </c>
    </row>
    <row r="57">
      <c r="A57" s="7">
        <v>44688.0</v>
      </c>
      <c r="B57" s="3">
        <v>1.128</v>
      </c>
      <c r="C57" s="3">
        <v>1.243</v>
      </c>
      <c r="D57" s="3">
        <v>1.311</v>
      </c>
      <c r="E57" s="3">
        <v>1.024</v>
      </c>
      <c r="F57" s="8">
        <v>-0.0918</v>
      </c>
    </row>
    <row r="58">
      <c r="A58" s="9">
        <v>44695.0</v>
      </c>
      <c r="B58" s="3">
        <v>1.11</v>
      </c>
      <c r="C58" s="3">
        <v>1.117</v>
      </c>
      <c r="D58" s="3">
        <v>1.205</v>
      </c>
      <c r="E58" s="3">
        <v>1.018</v>
      </c>
      <c r="F58" s="8">
        <v>-0.016</v>
      </c>
    </row>
    <row r="59">
      <c r="A59" s="9">
        <v>44702.0</v>
      </c>
      <c r="B59" s="3">
        <v>1.241</v>
      </c>
      <c r="C59" s="3">
        <v>1.113</v>
      </c>
      <c r="D59" s="3">
        <v>1.291</v>
      </c>
      <c r="E59" s="3">
        <v>1.103</v>
      </c>
      <c r="F59" s="10">
        <f>+11.8%</f>
        <v>0.118</v>
      </c>
    </row>
    <row r="60">
      <c r="A60" s="9">
        <v>44709.0</v>
      </c>
      <c r="B60" s="3">
        <v>1.514</v>
      </c>
      <c r="C60" s="3">
        <v>1.276</v>
      </c>
      <c r="D60" s="3">
        <v>1.529</v>
      </c>
      <c r="E60" s="3">
        <v>1.269</v>
      </c>
      <c r="F60" s="10">
        <f>+22%</f>
        <v>0.22</v>
      </c>
    </row>
    <row r="61">
      <c r="A61" s="11">
        <v>44716.0</v>
      </c>
      <c r="B61" s="3">
        <v>1.65</v>
      </c>
      <c r="C61" s="3">
        <v>1.514</v>
      </c>
      <c r="D61" s="3">
        <v>1.656</v>
      </c>
      <c r="E61" s="3">
        <v>1.499</v>
      </c>
      <c r="F61" s="10">
        <f>+8.98%</f>
        <v>0.0898</v>
      </c>
    </row>
    <row r="62">
      <c r="A62" s="12">
        <v>44723.0</v>
      </c>
      <c r="B62" s="3">
        <v>1.859</v>
      </c>
      <c r="C62" s="3">
        <v>1.661</v>
      </c>
      <c r="D62" s="3">
        <v>1.974</v>
      </c>
      <c r="E62" s="3">
        <v>1.629</v>
      </c>
      <c r="F62" s="10">
        <f>+12.67%</f>
        <v>0.1267</v>
      </c>
    </row>
    <row r="63">
      <c r="A63" s="12">
        <v>44730.0</v>
      </c>
      <c r="B63" s="3">
        <v>1.688</v>
      </c>
      <c r="C63" s="3">
        <v>1.848</v>
      </c>
      <c r="D63" s="3">
        <v>1.99</v>
      </c>
      <c r="E63" s="3">
        <v>1.636</v>
      </c>
      <c r="F63" s="8">
        <v>-0.092</v>
      </c>
    </row>
    <row r="64">
      <c r="A64" s="12">
        <v>44737.0</v>
      </c>
      <c r="B64" s="3">
        <v>1.56</v>
      </c>
      <c r="C64" s="3">
        <v>1.725</v>
      </c>
      <c r="D64" s="3">
        <v>1.858</v>
      </c>
      <c r="E64" s="3">
        <v>1.507</v>
      </c>
      <c r="F64" s="8">
        <v>-0.0758</v>
      </c>
    </row>
    <row r="65">
      <c r="A65" s="11">
        <v>44744.0</v>
      </c>
      <c r="B65" s="3">
        <v>1.605</v>
      </c>
      <c r="C65" s="3">
        <v>1.6</v>
      </c>
      <c r="D65" s="3">
        <v>1.666</v>
      </c>
      <c r="E65" s="3">
        <v>1.445</v>
      </c>
      <c r="F65" s="10">
        <f>+2.88%</f>
        <v>0.0288</v>
      </c>
    </row>
    <row r="66">
      <c r="A66" s="11">
        <v>44751.0</v>
      </c>
      <c r="B66" s="3">
        <v>1.358</v>
      </c>
      <c r="C66" s="3">
        <v>1.585</v>
      </c>
      <c r="D66" s="3">
        <v>1.597</v>
      </c>
      <c r="E66" s="3">
        <v>1.318</v>
      </c>
      <c r="F66" s="8">
        <v>-0.1539</v>
      </c>
    </row>
    <row r="67">
      <c r="A67" s="12">
        <v>44758.0</v>
      </c>
      <c r="B67" s="3">
        <v>1.289</v>
      </c>
      <c r="C67" s="3">
        <v>1.357</v>
      </c>
      <c r="D67" s="3">
        <v>1.521</v>
      </c>
      <c r="E67" s="3">
        <v>1.254</v>
      </c>
      <c r="F67" s="8">
        <v>-0.0508</v>
      </c>
    </row>
    <row r="68">
      <c r="A68" s="12">
        <v>44765.0</v>
      </c>
      <c r="B68" s="3">
        <v>1.081</v>
      </c>
      <c r="C68" s="3">
        <v>1.296</v>
      </c>
      <c r="D68" s="3">
        <v>1.338</v>
      </c>
      <c r="E68" s="3">
        <v>1.062</v>
      </c>
      <c r="F68" s="8">
        <v>-0.1614</v>
      </c>
    </row>
    <row r="69">
      <c r="A69" s="12">
        <v>44772.0</v>
      </c>
      <c r="B69" s="3">
        <v>1.172</v>
      </c>
      <c r="C69" s="3">
        <v>1.087</v>
      </c>
      <c r="D69" s="3">
        <v>1.176</v>
      </c>
      <c r="E69" s="3">
        <v>0.95</v>
      </c>
      <c r="F69" s="10">
        <f>+8.42%</f>
        <v>0.0842</v>
      </c>
    </row>
    <row r="70">
      <c r="A70" s="11">
        <v>44779.0</v>
      </c>
      <c r="B70" s="3">
        <v>1.24</v>
      </c>
      <c r="C70" s="3">
        <v>1.157</v>
      </c>
      <c r="D70" s="3">
        <v>1.289</v>
      </c>
      <c r="E70" s="3">
        <v>1.074</v>
      </c>
      <c r="F70" s="10">
        <f>+5.8%</f>
        <v>0.058</v>
      </c>
    </row>
    <row r="71">
      <c r="A71" s="12">
        <v>44786.0</v>
      </c>
      <c r="B71" s="3">
        <v>1.415</v>
      </c>
      <c r="C71" s="3">
        <v>1.239</v>
      </c>
      <c r="D71" s="3">
        <v>1.426</v>
      </c>
      <c r="E71" s="3">
        <v>1.139</v>
      </c>
      <c r="F71" s="10">
        <f>+14.11%</f>
        <v>0.1411</v>
      </c>
    </row>
    <row r="72">
      <c r="A72" s="12">
        <v>44793.0</v>
      </c>
      <c r="B72" s="3">
        <v>1.524</v>
      </c>
      <c r="C72" s="3">
        <v>1.407</v>
      </c>
      <c r="D72" s="3">
        <v>1.575</v>
      </c>
      <c r="E72" s="3">
        <v>1.364</v>
      </c>
      <c r="F72" s="10">
        <f>+7.7%</f>
        <v>0.077</v>
      </c>
    </row>
    <row r="73">
      <c r="A73" s="12">
        <v>44800.0</v>
      </c>
      <c r="B73" s="3">
        <v>1.686</v>
      </c>
      <c r="C73" s="3">
        <v>1.519</v>
      </c>
      <c r="D73" s="3">
        <v>1.765</v>
      </c>
      <c r="E73" s="3">
        <v>1.519</v>
      </c>
      <c r="F73" s="10">
        <f>+10.63%</f>
        <v>0.1063</v>
      </c>
    </row>
    <row r="74">
      <c r="A74" s="11">
        <v>44807.0</v>
      </c>
      <c r="B74" s="3">
        <v>1.813</v>
      </c>
      <c r="C74" s="3">
        <v>1.643</v>
      </c>
      <c r="D74" s="3">
        <v>1.851</v>
      </c>
      <c r="E74" s="3">
        <v>1.63</v>
      </c>
      <c r="F74" s="10">
        <f>+7.53%</f>
        <v>0.0753</v>
      </c>
    </row>
    <row r="75">
      <c r="A75" s="12">
        <v>44814.0</v>
      </c>
      <c r="B75" s="3">
        <v>1.763</v>
      </c>
      <c r="C75" s="3">
        <v>1.86</v>
      </c>
      <c r="D75" s="3">
        <v>1.87</v>
      </c>
      <c r="E75" s="3">
        <v>1.719</v>
      </c>
      <c r="F75" s="8">
        <v>-0.0276</v>
      </c>
    </row>
    <row r="76">
      <c r="A76" s="12">
        <v>44821.0</v>
      </c>
      <c r="B76" s="3">
        <v>1.877</v>
      </c>
      <c r="C76" s="3">
        <v>1.762</v>
      </c>
      <c r="D76" s="3">
        <v>1.965</v>
      </c>
      <c r="E76" s="3">
        <v>1.742</v>
      </c>
      <c r="F76" s="10">
        <f>+6.47%</f>
        <v>0.0647</v>
      </c>
    </row>
    <row r="77">
      <c r="A77" s="12">
        <v>44828.0</v>
      </c>
      <c r="B77" s="3">
        <v>2.095</v>
      </c>
      <c r="C77" s="3">
        <v>1.872</v>
      </c>
      <c r="D77" s="3">
        <v>2.25</v>
      </c>
      <c r="E77" s="3">
        <v>1.872</v>
      </c>
      <c r="F77" s="10">
        <f>+11.61%</f>
        <v>0.1161</v>
      </c>
    </row>
    <row r="78">
      <c r="A78" s="11">
        <v>44835.0</v>
      </c>
      <c r="B78" s="3">
        <v>2.138</v>
      </c>
      <c r="C78" s="3">
        <v>2.092</v>
      </c>
      <c r="D78" s="3">
        <v>2.174</v>
      </c>
      <c r="E78" s="3">
        <v>1.827</v>
      </c>
      <c r="F78" s="10">
        <f>+2.05%</f>
        <v>0.0205</v>
      </c>
    </row>
    <row r="79">
      <c r="A79" s="11">
        <v>44842.0</v>
      </c>
      <c r="B79" s="3">
        <v>2.412</v>
      </c>
      <c r="C79" s="3">
        <v>2.125</v>
      </c>
      <c r="D79" s="3">
        <v>2.476</v>
      </c>
      <c r="E79" s="3">
        <v>2.111</v>
      </c>
      <c r="F79" s="10">
        <f>+12.82%</f>
        <v>0.1282</v>
      </c>
    </row>
    <row r="80">
      <c r="A80" s="12">
        <v>44849.0</v>
      </c>
      <c r="B80" s="3">
        <v>2.46</v>
      </c>
      <c r="C80" s="3">
        <v>2.368</v>
      </c>
      <c r="D80" s="3">
        <v>2.538</v>
      </c>
      <c r="E80" s="3">
        <v>2.259</v>
      </c>
      <c r="F80" s="10">
        <f>+1.99%</f>
        <v>0.0199</v>
      </c>
    </row>
    <row r="81">
      <c r="A81" s="12">
        <v>44856.0</v>
      </c>
      <c r="B81" s="3">
        <v>2.066</v>
      </c>
      <c r="C81" s="3">
        <v>2.426</v>
      </c>
      <c r="D81" s="3">
        <v>2.459</v>
      </c>
      <c r="E81" s="3">
        <v>2.02</v>
      </c>
      <c r="F81" s="8">
        <v>-0.1602</v>
      </c>
    </row>
    <row r="82">
      <c r="A82" s="12">
        <v>44863.0</v>
      </c>
      <c r="B82" s="3">
        <v>2.228</v>
      </c>
      <c r="C82" s="3">
        <v>2.076</v>
      </c>
      <c r="D82" s="3">
        <v>2.239</v>
      </c>
      <c r="E82" s="3">
        <v>2.062</v>
      </c>
      <c r="F82" s="10">
        <f>+7.84%</f>
        <v>0.0784</v>
      </c>
    </row>
    <row r="83">
      <c r="A83" s="11">
        <v>44870.0</v>
      </c>
      <c r="B83" s="3">
        <v>2.119</v>
      </c>
      <c r="C83" s="3">
        <v>2.234</v>
      </c>
      <c r="D83" s="3">
        <v>2.313</v>
      </c>
      <c r="E83" s="3">
        <v>1.947</v>
      </c>
      <c r="F83" s="8">
        <v>-0.0489</v>
      </c>
    </row>
    <row r="84">
      <c r="A84" s="12">
        <v>44877.0</v>
      </c>
      <c r="B84" s="3">
        <v>1.937</v>
      </c>
      <c r="C84" s="3">
        <v>2.121</v>
      </c>
      <c r="D84" s="3">
        <v>2.139</v>
      </c>
      <c r="E84" s="3">
        <v>1.898</v>
      </c>
      <c r="F84" s="8">
        <v>-0.0859</v>
      </c>
    </row>
    <row r="85">
      <c r="A85" s="12">
        <v>44884.0</v>
      </c>
      <c r="B85" s="3">
        <v>1.795</v>
      </c>
      <c r="C85" s="3">
        <v>1.927</v>
      </c>
      <c r="D85" s="3">
        <v>1.977</v>
      </c>
      <c r="E85" s="3">
        <v>1.693</v>
      </c>
      <c r="F85" s="8">
        <v>-0.0733</v>
      </c>
    </row>
    <row r="86">
      <c r="A86" s="12">
        <v>44891.0</v>
      </c>
      <c r="B86" s="3">
        <v>1.622</v>
      </c>
      <c r="C86" s="3">
        <v>1.81</v>
      </c>
      <c r="D86" s="3">
        <v>1.835</v>
      </c>
      <c r="E86" s="3">
        <v>1.589</v>
      </c>
      <c r="F86" s="8">
        <v>-0.0964</v>
      </c>
    </row>
    <row r="87">
      <c r="A87" s="11">
        <v>44898.0</v>
      </c>
      <c r="B87" s="3">
        <v>1.664</v>
      </c>
      <c r="C87" s="3">
        <v>1.615</v>
      </c>
      <c r="D87" s="3">
        <v>1.675</v>
      </c>
      <c r="E87" s="3">
        <v>1.526</v>
      </c>
      <c r="F87" s="10">
        <f>+2.59%</f>
        <v>0.0259</v>
      </c>
    </row>
    <row r="88">
      <c r="A88" s="12">
        <v>44905.0</v>
      </c>
      <c r="B88" s="3">
        <v>1.921</v>
      </c>
      <c r="C88" s="3">
        <v>1.659</v>
      </c>
      <c r="D88" s="3">
        <v>1.939</v>
      </c>
      <c r="E88" s="3">
        <v>1.591</v>
      </c>
      <c r="F88" s="10">
        <f>+15.44%</f>
        <v>0.1544</v>
      </c>
    </row>
    <row r="89">
      <c r="A89" s="12">
        <v>44912.0</v>
      </c>
      <c r="B89" s="3">
        <v>2.178</v>
      </c>
      <c r="C89" s="3">
        <v>1.918</v>
      </c>
      <c r="D89" s="3">
        <v>2.214</v>
      </c>
      <c r="E89" s="3">
        <v>1.908</v>
      </c>
      <c r="F89" s="10">
        <f>+13.38%</f>
        <v>0.1338</v>
      </c>
    </row>
    <row r="90">
      <c r="A90" s="12">
        <v>44919.0</v>
      </c>
      <c r="B90" s="3">
        <v>2.455</v>
      </c>
      <c r="C90" s="3">
        <v>2.198</v>
      </c>
      <c r="D90" s="3">
        <v>2.46</v>
      </c>
      <c r="E90" s="3">
        <v>2.198</v>
      </c>
      <c r="F90" s="10">
        <f>+12.72%</f>
        <v>0.1272</v>
      </c>
    </row>
    <row r="91">
      <c r="A91" s="12">
        <v>44926.0</v>
      </c>
      <c r="B91" s="3">
        <v>2.074</v>
      </c>
      <c r="C91" s="3">
        <v>2.452</v>
      </c>
      <c r="D91" s="3">
        <v>2.469</v>
      </c>
      <c r="E91" s="3">
        <v>2.063</v>
      </c>
      <c r="F91" s="8">
        <v>-0.1552</v>
      </c>
    </row>
    <row r="92">
      <c r="A92" s="11">
        <v>44933.0</v>
      </c>
      <c r="B92" s="3">
        <v>2.039</v>
      </c>
      <c r="C92" s="3">
        <v>2.084</v>
      </c>
      <c r="D92" s="3">
        <v>2.172</v>
      </c>
      <c r="E92" s="3">
        <v>1.962</v>
      </c>
      <c r="F92" s="8">
        <v>-0.0169</v>
      </c>
    </row>
    <row r="93">
      <c r="A93" s="12">
        <v>44940.0</v>
      </c>
      <c r="B93" s="3">
        <v>2.055</v>
      </c>
      <c r="C93" s="3">
        <v>2.053</v>
      </c>
      <c r="D93" s="3">
        <v>2.103</v>
      </c>
      <c r="E93" s="3">
        <v>1.841</v>
      </c>
      <c r="F93" s="10">
        <f>+0.78%</f>
        <v>0.0078</v>
      </c>
    </row>
    <row r="94">
      <c r="A94" s="12">
        <v>44947.0</v>
      </c>
      <c r="B94" s="3">
        <v>2.2</v>
      </c>
      <c r="C94" s="3">
        <v>2.061</v>
      </c>
      <c r="D94" s="3">
        <v>2.235</v>
      </c>
      <c r="E94" s="3">
        <v>2.03</v>
      </c>
      <c r="F94" s="10">
        <f>+7.06%</f>
        <v>0.0706</v>
      </c>
    </row>
    <row r="95">
      <c r="A95" s="12">
        <v>44954.0</v>
      </c>
      <c r="B95" s="3">
        <v>2.237</v>
      </c>
      <c r="C95" s="3">
        <v>2.193</v>
      </c>
      <c r="D95" s="3">
        <v>2.27</v>
      </c>
      <c r="E95" s="3">
        <v>2.065</v>
      </c>
      <c r="F95" s="10">
        <f>+1.68%</f>
        <v>0.0168</v>
      </c>
    </row>
    <row r="96">
      <c r="A96" s="11">
        <v>44961.0</v>
      </c>
      <c r="B96" s="3">
        <v>2.33</v>
      </c>
      <c r="C96" s="3">
        <v>2.223</v>
      </c>
      <c r="D96" s="3">
        <v>2.363</v>
      </c>
      <c r="E96" s="3">
        <v>2.223</v>
      </c>
      <c r="F96" s="10">
        <f>+4.16%</f>
        <v>0.0416</v>
      </c>
    </row>
    <row r="97">
      <c r="A97" s="12">
        <v>44968.0</v>
      </c>
      <c r="B97" s="3">
        <v>2.405</v>
      </c>
      <c r="C97" s="3">
        <v>2.31</v>
      </c>
      <c r="D97" s="3">
        <v>2.504</v>
      </c>
      <c r="E97" s="3">
        <v>2.257</v>
      </c>
      <c r="F97" s="10">
        <f>+3.22%</f>
        <v>0.0322</v>
      </c>
    </row>
    <row r="98">
      <c r="A98" s="12">
        <v>44975.0</v>
      </c>
      <c r="B98" s="3">
        <v>2.459</v>
      </c>
      <c r="C98" s="3">
        <v>2.392</v>
      </c>
      <c r="D98" s="3">
        <v>2.542</v>
      </c>
      <c r="E98" s="3">
        <v>2.367</v>
      </c>
      <c r="F98" s="10">
        <f>+2.25%</f>
        <v>0.0225</v>
      </c>
    </row>
    <row r="99">
      <c r="A99" s="12">
        <v>44982.0</v>
      </c>
      <c r="B99" s="3">
        <v>2.652</v>
      </c>
      <c r="C99" s="3">
        <v>2.478</v>
      </c>
      <c r="D99" s="3">
        <v>2.712</v>
      </c>
      <c r="E99" s="3">
        <v>2.451</v>
      </c>
      <c r="F99" s="10">
        <f>+7.85%</f>
        <v>0.0785</v>
      </c>
    </row>
    <row r="100">
      <c r="A100" s="11">
        <v>44989.0</v>
      </c>
      <c r="B100" s="3">
        <v>2.456</v>
      </c>
      <c r="C100" s="3">
        <v>2.614</v>
      </c>
      <c r="D100" s="3">
        <v>2.665</v>
      </c>
      <c r="E100" s="3">
        <v>2.415</v>
      </c>
      <c r="F100" s="8">
        <v>-0.0739</v>
      </c>
    </row>
    <row r="101">
      <c r="A101" s="12">
        <v>44996.0</v>
      </c>
      <c r="B101" s="3">
        <v>2.165</v>
      </c>
      <c r="C101" s="3">
        <v>2.455</v>
      </c>
      <c r="D101" s="3">
        <v>2.47</v>
      </c>
      <c r="E101" s="3">
        <v>2.099</v>
      </c>
      <c r="F101" s="8">
        <v>-0.1185</v>
      </c>
    </row>
    <row r="102">
      <c r="A102" s="12">
        <v>45003.0</v>
      </c>
      <c r="B102" s="3">
        <v>2.203</v>
      </c>
      <c r="C102" s="3">
        <v>2.051</v>
      </c>
      <c r="D102" s="3">
        <v>2.384</v>
      </c>
      <c r="E102" s="3">
        <v>2.034</v>
      </c>
      <c r="F102" s="10">
        <f>+1.76%</f>
        <v>0.0176</v>
      </c>
    </row>
    <row r="103">
      <c r="A103" s="12">
        <v>45010.0</v>
      </c>
      <c r="B103" s="3">
        <v>2.364</v>
      </c>
      <c r="C103" s="3">
        <v>2.226</v>
      </c>
      <c r="D103" s="3">
        <v>2.439</v>
      </c>
      <c r="E103" s="3">
        <v>2.21</v>
      </c>
      <c r="F103" s="10">
        <f>+7.31%</f>
        <v>0.0731</v>
      </c>
    </row>
    <row r="104">
      <c r="A104" s="11">
        <v>45017.0</v>
      </c>
      <c r="B104" s="3">
        <v>2.279</v>
      </c>
      <c r="C104" s="3">
        <v>2.373</v>
      </c>
      <c r="D104" s="3">
        <v>2.428</v>
      </c>
      <c r="E104" s="3">
        <v>2.218</v>
      </c>
      <c r="F104" s="8">
        <v>-0.036</v>
      </c>
    </row>
    <row r="105">
      <c r="A105" s="11">
        <v>45024.0</v>
      </c>
      <c r="B105" s="3">
        <v>2.497</v>
      </c>
      <c r="C105" s="3">
        <v>2.346</v>
      </c>
      <c r="D105" s="3">
        <v>2.499</v>
      </c>
      <c r="E105" s="3">
        <v>2.315</v>
      </c>
      <c r="F105" s="10">
        <f>+9.57%</f>
        <v>0.0957</v>
      </c>
    </row>
    <row r="106">
      <c r="A106" s="12">
        <v>45031.0</v>
      </c>
      <c r="B106" s="3">
        <v>2.549</v>
      </c>
      <c r="C106" s="3">
        <v>2.501</v>
      </c>
      <c r="D106" s="3">
        <v>2.575</v>
      </c>
      <c r="E106" s="3">
        <v>2.481</v>
      </c>
      <c r="F106" s="10">
        <f>+2.08%</f>
        <v>0.0208</v>
      </c>
    </row>
    <row r="107">
      <c r="A107" s="12">
        <v>45038.0</v>
      </c>
      <c r="B107" s="3">
        <v>2.418</v>
      </c>
      <c r="C107" s="3">
        <v>2.55</v>
      </c>
      <c r="D107" s="3">
        <v>2.559</v>
      </c>
      <c r="E107" s="3">
        <v>2.402</v>
      </c>
      <c r="F107" s="8">
        <v>-0.0514</v>
      </c>
    </row>
    <row r="108">
      <c r="A108" s="12">
        <v>45045.0</v>
      </c>
      <c r="B108" s="3">
        <v>2.464</v>
      </c>
      <c r="C108" s="3">
        <v>2.414</v>
      </c>
      <c r="D108" s="3">
        <v>2.533</v>
      </c>
      <c r="E108" s="3">
        <v>2.342</v>
      </c>
      <c r="F108" s="10">
        <f>+1.9%</f>
        <v>0.019</v>
      </c>
    </row>
    <row r="109">
      <c r="A109" s="7">
        <v>45052.0</v>
      </c>
      <c r="B109" s="3">
        <v>2.454</v>
      </c>
      <c r="C109" s="3">
        <v>2.451</v>
      </c>
      <c r="D109" s="3">
        <v>2.549</v>
      </c>
      <c r="E109" s="3">
        <v>2.366</v>
      </c>
      <c r="F109" s="8">
        <v>-0.0041</v>
      </c>
    </row>
    <row r="110">
      <c r="A110" s="9">
        <v>45059.0</v>
      </c>
      <c r="B110" s="3">
        <v>2.6</v>
      </c>
      <c r="C110" s="3">
        <v>2.476</v>
      </c>
      <c r="D110" s="3">
        <v>2.666</v>
      </c>
      <c r="E110" s="3">
        <v>2.464</v>
      </c>
      <c r="F110" s="10">
        <f>+5.95%</f>
        <v>0.0595</v>
      </c>
    </row>
    <row r="111">
      <c r="A111" s="9">
        <v>45066.0</v>
      </c>
      <c r="B111" s="3">
        <v>2.675</v>
      </c>
      <c r="C111" s="3">
        <v>2.598</v>
      </c>
      <c r="D111" s="3">
        <v>2.695</v>
      </c>
      <c r="E111" s="3">
        <v>2.572</v>
      </c>
      <c r="F111" s="10">
        <f>+2.88%</f>
        <v>0.0288</v>
      </c>
    </row>
    <row r="112">
      <c r="A112" s="9">
        <v>45073.0</v>
      </c>
      <c r="B112" s="3">
        <v>2.485</v>
      </c>
      <c r="C112" s="3">
        <v>2.66</v>
      </c>
      <c r="D112" s="3">
        <v>2.672</v>
      </c>
      <c r="E112" s="3">
        <v>2.421</v>
      </c>
      <c r="F112" s="8">
        <v>-0.071</v>
      </c>
    </row>
    <row r="113">
      <c r="A113" s="11">
        <v>45080.0</v>
      </c>
      <c r="B113" s="3">
        <v>2.518</v>
      </c>
      <c r="C113" s="3">
        <v>2.512</v>
      </c>
      <c r="D113" s="3">
        <v>2.642</v>
      </c>
      <c r="E113" s="3">
        <v>2.502</v>
      </c>
      <c r="F113" s="10">
        <f>+1.33%</f>
        <v>0.0133</v>
      </c>
    </row>
    <row r="114">
      <c r="A114" s="12">
        <v>45087.0</v>
      </c>
      <c r="B114" s="3">
        <v>2.53</v>
      </c>
      <c r="C114" s="3">
        <v>2.527</v>
      </c>
      <c r="D114" s="3">
        <v>2.639</v>
      </c>
      <c r="E114" s="3">
        <v>2.485</v>
      </c>
      <c r="F114" s="10">
        <f>+0.48%</f>
        <v>0.0048</v>
      </c>
    </row>
    <row r="115">
      <c r="A115" s="12">
        <v>45094.0</v>
      </c>
      <c r="B115" s="3">
        <v>2.405</v>
      </c>
      <c r="C115" s="3">
        <v>2.543</v>
      </c>
      <c r="D115" s="3">
        <v>2.61</v>
      </c>
      <c r="E115" s="3">
        <v>2.382</v>
      </c>
      <c r="F115" s="8">
        <v>-0.0494</v>
      </c>
    </row>
    <row r="116">
      <c r="A116" s="12">
        <v>45101.0</v>
      </c>
      <c r="B116" s="3">
        <v>2.387</v>
      </c>
      <c r="C116" s="3">
        <v>2.405</v>
      </c>
      <c r="D116" s="3">
        <v>2.471</v>
      </c>
      <c r="E116" s="3">
        <v>2.334</v>
      </c>
      <c r="F116" s="8">
        <v>-0.0075</v>
      </c>
    </row>
    <row r="117">
      <c r="A117" s="11">
        <v>45108.0</v>
      </c>
      <c r="B117" s="3">
        <v>2.644</v>
      </c>
      <c r="C117" s="3">
        <v>2.399</v>
      </c>
      <c r="D117" s="3">
        <v>2.655</v>
      </c>
      <c r="E117" s="3">
        <v>2.349</v>
      </c>
      <c r="F117" s="10">
        <f>+10.77%</f>
        <v>0.1077</v>
      </c>
    </row>
    <row r="118">
      <c r="A118" s="11">
        <v>45115.0</v>
      </c>
      <c r="B118" s="3">
        <v>2.532</v>
      </c>
      <c r="C118" s="3">
        <v>2.662</v>
      </c>
      <c r="D118" s="3">
        <v>2.679</v>
      </c>
      <c r="E118" s="3">
        <v>2.502</v>
      </c>
      <c r="F118" s="8">
        <v>-0.0424</v>
      </c>
    </row>
    <row r="119">
      <c r="A119" s="12">
        <v>45122.0</v>
      </c>
      <c r="B119" s="3">
        <v>2.478</v>
      </c>
      <c r="C119" s="3">
        <v>2.541</v>
      </c>
      <c r="D119" s="3">
        <v>2.546</v>
      </c>
      <c r="E119" s="3">
        <v>2.379</v>
      </c>
      <c r="F119" s="8">
        <v>-0.0213</v>
      </c>
    </row>
    <row r="120">
      <c r="A120" s="12">
        <v>45129.0</v>
      </c>
      <c r="B120" s="3">
        <v>2.563</v>
      </c>
      <c r="C120" s="3">
        <v>2.501</v>
      </c>
      <c r="D120" s="3">
        <v>2.658</v>
      </c>
      <c r="E120" s="3">
        <v>2.436</v>
      </c>
      <c r="F120" s="10">
        <f>+3.43%</f>
        <v>0.0343</v>
      </c>
    </row>
    <row r="121">
      <c r="A121" s="12">
        <v>45136.0</v>
      </c>
      <c r="B121" s="3">
        <v>2.641</v>
      </c>
      <c r="C121" s="3">
        <v>2.59</v>
      </c>
      <c r="D121" s="3">
        <v>2.707</v>
      </c>
      <c r="E121" s="3">
        <v>2.556</v>
      </c>
      <c r="F121" s="10">
        <f>+3.04%</f>
        <v>0.0304</v>
      </c>
    </row>
    <row r="122">
      <c r="A122" s="11">
        <v>45143.0</v>
      </c>
      <c r="B122" s="3">
        <v>2.7</v>
      </c>
      <c r="C122" s="3">
        <v>2.622</v>
      </c>
      <c r="D122" s="3">
        <v>2.713</v>
      </c>
      <c r="E122" s="3">
        <v>2.527</v>
      </c>
      <c r="F122" s="10">
        <f>+2.23%</f>
        <v>0.0223</v>
      </c>
    </row>
    <row r="123">
      <c r="A123" s="12">
        <v>45150.0</v>
      </c>
      <c r="B123" s="3">
        <v>2.725</v>
      </c>
      <c r="C123" s="3">
        <v>2.716</v>
      </c>
      <c r="D123" s="3">
        <v>2.799</v>
      </c>
      <c r="E123" s="3">
        <v>2.685</v>
      </c>
      <c r="F123" s="10">
        <f>+0.93%</f>
        <v>0.0093</v>
      </c>
    </row>
    <row r="124">
      <c r="A124" s="12">
        <v>45157.0</v>
      </c>
      <c r="B124" s="3">
        <v>2.654</v>
      </c>
      <c r="C124" s="3">
        <v>2.736</v>
      </c>
      <c r="D124" s="3">
        <v>2.809</v>
      </c>
      <c r="E124" s="3">
        <v>2.56</v>
      </c>
      <c r="F124" s="8">
        <v>-0.0261</v>
      </c>
    </row>
    <row r="125">
      <c r="A125" s="12">
        <v>45164.0</v>
      </c>
      <c r="B125" s="3">
        <v>2.678</v>
      </c>
      <c r="C125" s="3">
        <v>2.652</v>
      </c>
      <c r="D125" s="3">
        <v>2.688</v>
      </c>
      <c r="E125" s="3">
        <v>2.584</v>
      </c>
      <c r="F125" s="10">
        <f>+0.9%</f>
        <v>0.009</v>
      </c>
    </row>
    <row r="126">
      <c r="A126" s="11">
        <v>45171.0</v>
      </c>
      <c r="B126" s="3">
        <v>2.722</v>
      </c>
      <c r="C126" s="3">
        <v>2.689</v>
      </c>
      <c r="D126" s="3">
        <v>2.792</v>
      </c>
      <c r="E126" s="3">
        <v>2.675</v>
      </c>
      <c r="F126" s="10">
        <f>+1.64%</f>
        <v>0.0164</v>
      </c>
    </row>
    <row r="127">
      <c r="A127" s="11">
        <v>45178.0</v>
      </c>
      <c r="B127" s="3">
        <v>2.81</v>
      </c>
      <c r="C127" s="3">
        <v>2.756</v>
      </c>
      <c r="D127" s="3">
        <v>2.818</v>
      </c>
      <c r="E127" s="3">
        <v>2.686</v>
      </c>
      <c r="F127" s="10">
        <f>+3.23%</f>
        <v>0.0323</v>
      </c>
    </row>
    <row r="128">
      <c r="A128" s="12">
        <v>45185.0</v>
      </c>
      <c r="B128" s="3">
        <v>2.888</v>
      </c>
      <c r="C128" s="3">
        <v>2.835</v>
      </c>
      <c r="D128" s="3">
        <v>2.92</v>
      </c>
      <c r="E128" s="3">
        <v>2.811</v>
      </c>
      <c r="F128" s="10">
        <f>+2.78%</f>
        <v>0.0278</v>
      </c>
    </row>
    <row r="129">
      <c r="A129" s="12">
        <v>45192.0</v>
      </c>
      <c r="B129" s="3">
        <v>3.035</v>
      </c>
      <c r="C129" s="3">
        <v>2.907</v>
      </c>
      <c r="D129" s="3">
        <v>3.154</v>
      </c>
      <c r="E129" s="3">
        <v>2.899</v>
      </c>
      <c r="F129" s="10">
        <f>+5.09%</f>
        <v>0.0509</v>
      </c>
    </row>
    <row r="130">
      <c r="A130" s="12">
        <v>45199.0</v>
      </c>
      <c r="B130" s="3">
        <v>3.111</v>
      </c>
      <c r="C130" s="3">
        <v>3.066</v>
      </c>
      <c r="D130" s="3">
        <v>3.26</v>
      </c>
      <c r="E130" s="3">
        <v>3.035</v>
      </c>
      <c r="F130" s="10">
        <f>+2.5%</f>
        <v>0.025</v>
      </c>
    </row>
    <row r="131">
      <c r="A131" s="11">
        <v>45206.0</v>
      </c>
      <c r="B131" s="3">
        <v>2.929</v>
      </c>
      <c r="C131" s="3">
        <v>3.12</v>
      </c>
      <c r="D131" s="3">
        <v>3.129</v>
      </c>
      <c r="E131" s="3">
        <v>2.858</v>
      </c>
      <c r="F131" s="8">
        <v>-0.0585</v>
      </c>
    </row>
    <row r="132">
      <c r="A132" s="12">
        <v>45213.0</v>
      </c>
      <c r="B132" s="3">
        <v>3.095</v>
      </c>
      <c r="C132" s="3">
        <v>2.954</v>
      </c>
      <c r="D132" s="3">
        <v>3.144</v>
      </c>
      <c r="E132" s="3">
        <v>2.94</v>
      </c>
      <c r="F132" s="10">
        <f>+5.67%</f>
        <v>0.0567</v>
      </c>
    </row>
    <row r="133">
      <c r="A133" s="12">
        <v>45220.0</v>
      </c>
      <c r="B133" s="3">
        <v>3.126</v>
      </c>
      <c r="C133" s="3">
        <v>3.102</v>
      </c>
      <c r="D133" s="3">
        <v>3.182</v>
      </c>
      <c r="E133" s="3">
        <v>2.974</v>
      </c>
      <c r="F133" s="10">
        <f>+1%</f>
        <v>0.01</v>
      </c>
    </row>
    <row r="134">
      <c r="A134" s="12">
        <v>45227.0</v>
      </c>
      <c r="B134" s="3">
        <v>2.914</v>
      </c>
      <c r="C134" s="3">
        <v>3.112</v>
      </c>
      <c r="D134" s="3">
        <v>3.16</v>
      </c>
      <c r="E134" s="3">
        <v>2.91</v>
      </c>
      <c r="F134" s="8">
        <v>-0.0678</v>
      </c>
    </row>
    <row r="135">
      <c r="A135" s="11">
        <v>45234.0</v>
      </c>
      <c r="B135" s="3">
        <v>2.92</v>
      </c>
      <c r="C135" s="3">
        <v>2.93</v>
      </c>
      <c r="D135" s="3">
        <v>3.026</v>
      </c>
      <c r="E135" s="3">
        <v>2.802</v>
      </c>
      <c r="F135" s="10">
        <f>+0.21%</f>
        <v>0.0021</v>
      </c>
    </row>
    <row r="136">
      <c r="A136" s="12">
        <v>45241.0</v>
      </c>
      <c r="B136" s="3">
        <v>2.803</v>
      </c>
      <c r="C136" s="3">
        <v>2.939</v>
      </c>
      <c r="D136" s="3">
        <v>2.95</v>
      </c>
      <c r="E136" s="3">
        <v>2.746</v>
      </c>
      <c r="F136" s="8">
        <v>-0.0401</v>
      </c>
    </row>
    <row r="137">
      <c r="A137" s="12">
        <v>45248.0</v>
      </c>
      <c r="B137" s="3">
        <v>2.818</v>
      </c>
      <c r="C137" s="3">
        <v>2.819</v>
      </c>
      <c r="D137" s="3">
        <v>2.837</v>
      </c>
      <c r="E137" s="3">
        <v>2.707</v>
      </c>
      <c r="F137" s="10">
        <f>+0.54%</f>
        <v>0.0054</v>
      </c>
    </row>
    <row r="138">
      <c r="A138" s="12">
        <v>45255.0</v>
      </c>
      <c r="B138" s="3">
        <v>2.634</v>
      </c>
      <c r="C138" s="3">
        <v>2.817</v>
      </c>
      <c r="D138" s="3">
        <v>2.832</v>
      </c>
      <c r="E138" s="3">
        <v>2.633</v>
      </c>
      <c r="F138" s="8">
        <v>-0.0653</v>
      </c>
    </row>
    <row r="139">
      <c r="A139" s="11">
        <v>45262.0</v>
      </c>
      <c r="B139" s="3">
        <v>2.454</v>
      </c>
      <c r="C139" s="3">
        <v>2.632</v>
      </c>
      <c r="D139" s="3">
        <v>2.638</v>
      </c>
      <c r="E139" s="3">
        <v>2.359</v>
      </c>
      <c r="F139" s="8">
        <v>-0.0683</v>
      </c>
    </row>
    <row r="140">
      <c r="A140" s="11">
        <v>45269.0</v>
      </c>
      <c r="B140" s="3">
        <v>2.21</v>
      </c>
      <c r="C140" s="3">
        <v>2.453</v>
      </c>
      <c r="D140" s="3">
        <v>2.472</v>
      </c>
      <c r="E140" s="3">
        <v>2.201</v>
      </c>
      <c r="F140" s="8">
        <v>-0.0994</v>
      </c>
    </row>
    <row r="141">
      <c r="A141" s="12">
        <v>45276.0</v>
      </c>
      <c r="B141" s="3">
        <v>2.199</v>
      </c>
      <c r="C141" s="3">
        <v>2.224</v>
      </c>
      <c r="D141" s="3">
        <v>2.291</v>
      </c>
      <c r="E141" s="3">
        <v>2.137</v>
      </c>
      <c r="F141" s="8">
        <v>-0.005</v>
      </c>
    </row>
    <row r="142">
      <c r="A142" s="12">
        <v>45283.0</v>
      </c>
      <c r="B142" s="3">
        <v>2.27</v>
      </c>
      <c r="C142" s="3">
        <v>2.183</v>
      </c>
      <c r="D142" s="3">
        <v>2.279</v>
      </c>
      <c r="E142" s="3">
        <v>2.119</v>
      </c>
      <c r="F142" s="10">
        <f>+3.23%</f>
        <v>0.0323</v>
      </c>
    </row>
    <row r="143">
      <c r="A143" s="12">
        <v>45290.0</v>
      </c>
      <c r="B143" s="3">
        <v>2.362</v>
      </c>
      <c r="C143" s="3">
        <v>2.277</v>
      </c>
      <c r="D143" s="3">
        <v>2.418</v>
      </c>
      <c r="E143" s="3">
        <v>2.241</v>
      </c>
      <c r="F143" s="10">
        <f>+4.05%</f>
        <v>0.0405</v>
      </c>
    </row>
    <row r="144">
      <c r="A144" s="11">
        <v>45297.0</v>
      </c>
      <c r="B144" s="3">
        <v>2.39</v>
      </c>
      <c r="C144" s="3">
        <v>2.381</v>
      </c>
      <c r="D144" s="3">
        <v>2.439</v>
      </c>
      <c r="E144" s="3">
        <v>2.352</v>
      </c>
      <c r="F144" s="10">
        <f>+1.19%</f>
        <v>0.0119</v>
      </c>
    </row>
    <row r="145">
      <c r="A145" s="12">
        <v>45304.0</v>
      </c>
      <c r="B145" s="3">
        <v>2.49</v>
      </c>
      <c r="C145" s="3">
        <v>2.424</v>
      </c>
      <c r="D145" s="3">
        <v>2.515</v>
      </c>
      <c r="E145" s="3">
        <v>2.409</v>
      </c>
      <c r="F145" s="10">
        <f>+4.18%</f>
        <v>0.0418</v>
      </c>
    </row>
    <row r="146">
      <c r="A146" s="12">
        <v>45311.0</v>
      </c>
      <c r="B146" s="3">
        <v>2.509</v>
      </c>
      <c r="C146" s="3">
        <v>2.467</v>
      </c>
      <c r="D146" s="3">
        <v>2.548</v>
      </c>
      <c r="E146" s="3">
        <v>2.438</v>
      </c>
      <c r="F146" s="10">
        <f>+0.76%</f>
        <v>0.0076</v>
      </c>
    </row>
    <row r="147">
      <c r="A147" s="12">
        <v>45318.0</v>
      </c>
      <c r="B147" s="3">
        <v>2.432</v>
      </c>
      <c r="C147" s="3">
        <v>2.484</v>
      </c>
      <c r="D147" s="3">
        <v>2.519</v>
      </c>
      <c r="E147" s="3">
        <v>2.348</v>
      </c>
      <c r="F147" s="8">
        <v>-0.0307</v>
      </c>
    </row>
    <row r="148">
      <c r="A148" s="11">
        <v>45325.0</v>
      </c>
      <c r="B148" s="3">
        <v>2.57</v>
      </c>
      <c r="C148" s="3">
        <v>2.453</v>
      </c>
      <c r="D148" s="3">
        <v>2.592</v>
      </c>
      <c r="E148" s="3">
        <v>2.448</v>
      </c>
      <c r="F148" s="10">
        <f>+5.67%</f>
        <v>0.0567</v>
      </c>
    </row>
    <row r="149">
      <c r="A149" s="12">
        <v>45332.0</v>
      </c>
      <c r="B149" s="3">
        <v>2.538</v>
      </c>
      <c r="C149" s="3">
        <v>2.562</v>
      </c>
      <c r="D149" s="3">
        <v>2.579</v>
      </c>
      <c r="E149" s="3">
        <v>2.461</v>
      </c>
      <c r="F149" s="8">
        <v>-0.0125</v>
      </c>
    </row>
    <row r="150">
      <c r="A150" s="12">
        <v>45339.0</v>
      </c>
      <c r="B150" s="3">
        <v>2.495</v>
      </c>
      <c r="C150" s="3">
        <v>2.541</v>
      </c>
      <c r="D150" s="3">
        <v>2.629</v>
      </c>
      <c r="E150" s="3">
        <v>2.495</v>
      </c>
      <c r="F150" s="8">
        <v>-0.0169</v>
      </c>
    </row>
    <row r="151">
      <c r="A151" s="12">
        <v>45346.0</v>
      </c>
      <c r="B151" s="3">
        <v>2.545</v>
      </c>
      <c r="C151" s="3">
        <v>2.524</v>
      </c>
      <c r="D151" s="3">
        <v>2.623</v>
      </c>
      <c r="E151" s="3">
        <v>2.516</v>
      </c>
      <c r="F151" s="10">
        <f>+2%</f>
        <v>0.02</v>
      </c>
    </row>
    <row r="152">
      <c r="A152" s="11">
        <v>45353.0</v>
      </c>
      <c r="B152" s="3">
        <v>2.432</v>
      </c>
      <c r="C152" s="3">
        <v>2.548</v>
      </c>
      <c r="D152" s="3">
        <v>2.568</v>
      </c>
      <c r="E152" s="3">
        <v>2.386</v>
      </c>
      <c r="F152" s="8">
        <v>-0.0444</v>
      </c>
    </row>
    <row r="153">
      <c r="A153" s="11">
        <v>45360.0</v>
      </c>
      <c r="B153" s="3">
        <v>2.571</v>
      </c>
      <c r="C153" s="3">
        <v>2.423</v>
      </c>
      <c r="D153" s="3">
        <v>2.591</v>
      </c>
      <c r="E153" s="3">
        <v>2.4</v>
      </c>
      <c r="F153" s="10">
        <f>+5.72%</f>
        <v>0.0572</v>
      </c>
    </row>
    <row r="154">
      <c r="A154" s="12">
        <v>45367.0</v>
      </c>
      <c r="B154" s="3">
        <v>2.485</v>
      </c>
      <c r="C154" s="3">
        <v>2.558</v>
      </c>
      <c r="D154" s="3">
        <v>2.611</v>
      </c>
      <c r="E154" s="3">
        <v>2.482</v>
      </c>
      <c r="F154" s="8">
        <v>-0.0335</v>
      </c>
    </row>
    <row r="155">
      <c r="A155" s="12">
        <v>45374.0</v>
      </c>
      <c r="B155" s="3">
        <v>2.445</v>
      </c>
      <c r="C155" s="3">
        <v>2.488</v>
      </c>
      <c r="D155" s="3">
        <v>2.529</v>
      </c>
      <c r="E155" s="3">
        <v>2.441</v>
      </c>
      <c r="F155" s="8">
        <v>-0.0161</v>
      </c>
    </row>
    <row r="156">
      <c r="A156" s="12">
        <v>45381.0</v>
      </c>
      <c r="B156" s="3">
        <v>2.563</v>
      </c>
      <c r="C156" s="3">
        <v>2.459</v>
      </c>
      <c r="D156" s="3">
        <v>2.602</v>
      </c>
      <c r="E156" s="3">
        <v>2.459</v>
      </c>
      <c r="F156" s="10">
        <f>+4.83%</f>
        <v>0.0483</v>
      </c>
    </row>
    <row r="157">
      <c r="A157" s="11">
        <v>45388.0</v>
      </c>
      <c r="B157" s="3">
        <v>2.499</v>
      </c>
      <c r="C157" s="3">
        <v>2.585</v>
      </c>
      <c r="D157" s="3">
        <v>2.611</v>
      </c>
      <c r="E157" s="3">
        <v>2.456</v>
      </c>
      <c r="F157" s="8">
        <v>-0.025</v>
      </c>
    </row>
    <row r="158">
      <c r="A158" s="12">
        <v>45395.0</v>
      </c>
      <c r="B158" s="3">
        <v>2.623</v>
      </c>
      <c r="C158" s="3">
        <v>2.507</v>
      </c>
      <c r="D158" s="3">
        <v>2.654</v>
      </c>
      <c r="E158" s="3">
        <v>2.507</v>
      </c>
      <c r="F158" s="10">
        <f>+4.96%</f>
        <v>0.0496</v>
      </c>
    </row>
    <row r="159">
      <c r="A159" s="12">
        <v>45402.0</v>
      </c>
      <c r="B159" s="3">
        <v>2.71</v>
      </c>
      <c r="C159" s="3">
        <v>2.629</v>
      </c>
      <c r="D159" s="3">
        <v>2.777</v>
      </c>
      <c r="E159" s="3">
        <v>2.596</v>
      </c>
      <c r="F159" s="10">
        <f>+3.32%</f>
        <v>0.0332</v>
      </c>
    </row>
    <row r="160">
      <c r="A160" s="12">
        <v>45409.0</v>
      </c>
      <c r="B160" s="3">
        <v>2.634</v>
      </c>
      <c r="C160" s="3">
        <v>2.711</v>
      </c>
      <c r="D160" s="3">
        <v>2.714</v>
      </c>
      <c r="E160" s="3">
        <v>2.591</v>
      </c>
      <c r="F160" s="8">
        <v>-0.028</v>
      </c>
    </row>
    <row r="161">
      <c r="A161" s="7">
        <v>45416.0</v>
      </c>
      <c r="B161" s="3">
        <v>2.652</v>
      </c>
      <c r="C161" s="3">
        <v>2.622</v>
      </c>
      <c r="D161" s="3">
        <v>2.656</v>
      </c>
      <c r="E161" s="3">
        <v>2.538</v>
      </c>
      <c r="F161" s="10">
        <f>+0.68%</f>
        <v>0.0068</v>
      </c>
    </row>
    <row r="162">
      <c r="A162" s="9">
        <v>45423.0</v>
      </c>
      <c r="B162" s="3">
        <v>2.65</v>
      </c>
      <c r="C162" s="3">
        <v>2.654</v>
      </c>
      <c r="D162" s="3">
        <v>2.685</v>
      </c>
      <c r="E162" s="3">
        <v>2.549</v>
      </c>
      <c r="F162" s="8">
        <v>-8.0E-4</v>
      </c>
    </row>
    <row r="163">
      <c r="A163" s="9">
        <v>45430.0</v>
      </c>
      <c r="B163" s="3">
        <v>2.696</v>
      </c>
      <c r="C163" s="3">
        <v>2.666</v>
      </c>
      <c r="D163" s="3">
        <v>2.72</v>
      </c>
      <c r="E163" s="3">
        <v>2.631</v>
      </c>
      <c r="F163" s="10">
        <f>+1.74%</f>
        <v>0.0174</v>
      </c>
    </row>
    <row r="164">
      <c r="A164" s="9">
        <v>45437.0</v>
      </c>
      <c r="B164" s="3">
        <v>2.776</v>
      </c>
      <c r="C164" s="3">
        <v>2.706</v>
      </c>
      <c r="D164" s="3">
        <v>2.831</v>
      </c>
      <c r="E164" s="3">
        <v>2.658</v>
      </c>
      <c r="F164" s="10">
        <f>+2.97%</f>
        <v>0.0297</v>
      </c>
    </row>
    <row r="165">
      <c r="A165" s="11">
        <v>45444.0</v>
      </c>
      <c r="B165" s="3">
        <v>2.726</v>
      </c>
      <c r="C165" s="3">
        <v>2.78</v>
      </c>
      <c r="D165" s="3">
        <v>2.788</v>
      </c>
      <c r="E165" s="3">
        <v>2.637</v>
      </c>
      <c r="F165" s="8">
        <v>-0.018</v>
      </c>
    </row>
    <row r="166">
      <c r="A166" s="11">
        <v>45451.0</v>
      </c>
      <c r="B166" s="3">
        <v>2.512</v>
      </c>
      <c r="C166" s="3">
        <v>2.731</v>
      </c>
      <c r="D166" s="3">
        <v>2.823</v>
      </c>
      <c r="E166" s="3">
        <v>2.5</v>
      </c>
      <c r="F166" s="8">
        <v>-0.0785</v>
      </c>
    </row>
    <row r="167">
      <c r="A167" s="12">
        <v>45458.0</v>
      </c>
      <c r="B167" s="3">
        <v>2.589</v>
      </c>
      <c r="C167" s="3">
        <v>2.52</v>
      </c>
      <c r="D167" s="3">
        <v>2.612</v>
      </c>
      <c r="E167" s="3">
        <v>2.51</v>
      </c>
      <c r="F167" s="10">
        <f>+3.07%</f>
        <v>0.0307</v>
      </c>
    </row>
    <row r="168">
      <c r="A168" s="12">
        <v>45465.0</v>
      </c>
      <c r="B168" s="3">
        <v>2.674</v>
      </c>
      <c r="C168" s="3">
        <v>2.584</v>
      </c>
      <c r="D168" s="3">
        <v>2.688</v>
      </c>
      <c r="E168" s="3">
        <v>2.567</v>
      </c>
      <c r="F168" s="10">
        <f>+3.28%</f>
        <v>0.0328</v>
      </c>
    </row>
    <row r="169">
      <c r="A169" s="12">
        <v>45472.0</v>
      </c>
      <c r="B169" s="3">
        <v>2.718</v>
      </c>
      <c r="C169" s="3">
        <v>2.721</v>
      </c>
      <c r="D169" s="3">
        <v>2.814</v>
      </c>
      <c r="E169" s="3">
        <v>2.715</v>
      </c>
      <c r="F169" s="10">
        <f>+1.65%</f>
        <v>0.0165</v>
      </c>
    </row>
    <row r="170">
      <c r="A170" s="11">
        <v>45479.0</v>
      </c>
      <c r="B170" s="3">
        <v>2.685</v>
      </c>
      <c r="C170" s="3">
        <v>2.72</v>
      </c>
      <c r="D170" s="3">
        <v>2.749</v>
      </c>
      <c r="E170" s="3">
        <v>2.654</v>
      </c>
      <c r="F170" s="8">
        <v>-0.0121</v>
      </c>
    </row>
    <row r="171">
      <c r="A171" s="12">
        <v>45486.0</v>
      </c>
      <c r="B171" s="3">
        <v>2.663</v>
      </c>
      <c r="C171" s="3">
        <v>2.686</v>
      </c>
      <c r="D171" s="3">
        <v>2.713</v>
      </c>
      <c r="E171" s="3">
        <v>2.591</v>
      </c>
      <c r="F171" s="8">
        <v>-0.0082</v>
      </c>
    </row>
    <row r="172">
      <c r="A172" s="12">
        <v>45493.0</v>
      </c>
      <c r="B172" s="3">
        <v>2.627</v>
      </c>
      <c r="C172" s="3">
        <v>2.655</v>
      </c>
      <c r="D172" s="3">
        <v>2.692</v>
      </c>
      <c r="E172" s="3">
        <v>2.615</v>
      </c>
      <c r="F172" s="8">
        <v>-0.0135</v>
      </c>
    </row>
    <row r="173">
      <c r="A173" s="12">
        <v>45500.0</v>
      </c>
      <c r="B173" s="3">
        <v>2.41</v>
      </c>
      <c r="C173" s="3">
        <v>2.624</v>
      </c>
      <c r="D173" s="3">
        <v>2.627</v>
      </c>
      <c r="E173" s="3">
        <v>2.392</v>
      </c>
      <c r="F173" s="8">
        <v>-0.0826</v>
      </c>
    </row>
    <row r="174">
      <c r="A174" s="11">
        <v>45507.0</v>
      </c>
      <c r="B174" s="3">
        <v>2.458</v>
      </c>
      <c r="C174" s="3">
        <v>2.372</v>
      </c>
      <c r="D174" s="3">
        <v>2.512</v>
      </c>
      <c r="E174" s="3">
        <v>2.341</v>
      </c>
      <c r="F174" s="10">
        <f>+1.99%</f>
        <v>0.0199</v>
      </c>
    </row>
    <row r="175">
      <c r="A175" s="12">
        <v>45514.0</v>
      </c>
      <c r="B175" s="3">
        <v>2.477</v>
      </c>
      <c r="C175" s="3">
        <v>2.463</v>
      </c>
      <c r="D175" s="3">
        <v>2.487</v>
      </c>
      <c r="E175" s="3">
        <v>2.411</v>
      </c>
      <c r="F175" s="10">
        <f>+0.77%</f>
        <v>0.0077</v>
      </c>
    </row>
    <row r="176">
      <c r="A176" s="12">
        <v>45521.0</v>
      </c>
      <c r="B176" s="3">
        <v>2.472</v>
      </c>
      <c r="C176" s="3">
        <v>2.464</v>
      </c>
      <c r="D176" s="3">
        <v>2.495</v>
      </c>
      <c r="E176" s="3">
        <v>2.425</v>
      </c>
      <c r="F176" s="8">
        <v>-0.002</v>
      </c>
    </row>
    <row r="177">
      <c r="A177" s="12">
        <v>45528.0</v>
      </c>
      <c r="B177" s="3">
        <v>2.539</v>
      </c>
      <c r="C177" s="3">
        <v>2.467</v>
      </c>
      <c r="D177" s="3">
        <v>2.548</v>
      </c>
      <c r="E177" s="3">
        <v>2.463</v>
      </c>
      <c r="F177" s="10">
        <f>+2.71%</f>
        <v>0.0271</v>
      </c>
    </row>
    <row r="178">
      <c r="A178" s="12">
        <v>45535.0</v>
      </c>
      <c r="B178" s="3">
        <v>2.434</v>
      </c>
      <c r="C178" s="3">
        <v>2.57</v>
      </c>
      <c r="D178" s="3">
        <v>2.592</v>
      </c>
      <c r="E178" s="3">
        <v>2.402</v>
      </c>
      <c r="F178" s="8">
        <v>-0.0414</v>
      </c>
    </row>
    <row r="179">
      <c r="A179" s="11">
        <v>45542.0</v>
      </c>
      <c r="B179" s="3">
        <v>2.432</v>
      </c>
      <c r="C179" s="3">
        <v>2.485</v>
      </c>
      <c r="D179" s="3">
        <v>2.508</v>
      </c>
      <c r="E179" s="3">
        <v>2.372</v>
      </c>
      <c r="F179" s="8">
        <v>-8.0E-4</v>
      </c>
    </row>
    <row r="180">
      <c r="A180" s="12">
        <v>45549.0</v>
      </c>
      <c r="B180" s="3">
        <v>2.514</v>
      </c>
      <c r="C180" s="3">
        <v>2.43</v>
      </c>
      <c r="D180" s="3">
        <v>2.52</v>
      </c>
      <c r="E180" s="3">
        <v>2.37</v>
      </c>
      <c r="F180" s="10">
        <f>+3.37%</f>
        <v>0.0337</v>
      </c>
    </row>
    <row r="181">
      <c r="A181" s="12">
        <v>45556.0</v>
      </c>
      <c r="B181" s="3">
        <v>2.472</v>
      </c>
      <c r="C181" s="3">
        <v>2.52</v>
      </c>
      <c r="D181" s="3">
        <v>2.534</v>
      </c>
      <c r="E181" s="3">
        <v>2.427</v>
      </c>
      <c r="F181" s="8">
        <v>-0.0167</v>
      </c>
    </row>
    <row r="182">
      <c r="A182" s="12">
        <v>45563.0</v>
      </c>
      <c r="B182" s="3">
        <v>2.493</v>
      </c>
      <c r="C182" s="3">
        <v>2.475</v>
      </c>
      <c r="D182" s="3">
        <v>2.534</v>
      </c>
      <c r="E182" s="3">
        <v>2.337</v>
      </c>
      <c r="F182" s="10">
        <f>+0.85%</f>
        <v>0.0085</v>
      </c>
    </row>
    <row r="183">
      <c r="A183" s="11">
        <v>45570.0</v>
      </c>
      <c r="B183" s="3">
        <v>2.562</v>
      </c>
      <c r="C183" s="3">
        <v>2.494</v>
      </c>
      <c r="D183" s="3">
        <v>2.587</v>
      </c>
      <c r="E183" s="3">
        <v>2.492</v>
      </c>
      <c r="F183" s="10">
        <f>+2.77%</f>
        <v>0.0277</v>
      </c>
    </row>
    <row r="184">
      <c r="A184" s="12">
        <v>45577.0</v>
      </c>
      <c r="B184" s="3">
        <v>2.5</v>
      </c>
      <c r="C184" s="3">
        <v>2.557</v>
      </c>
      <c r="D184" s="3">
        <v>2.578</v>
      </c>
      <c r="E184" s="3">
        <v>2.467</v>
      </c>
      <c r="F184" s="8">
        <v>-0.024</v>
      </c>
    </row>
    <row r="185">
      <c r="A185" s="12">
        <v>45584.0</v>
      </c>
      <c r="B185" s="3">
        <v>2.594</v>
      </c>
      <c r="C185" s="3">
        <v>2.506</v>
      </c>
      <c r="D185" s="3">
        <v>2.661</v>
      </c>
      <c r="E185" s="3">
        <v>2.503</v>
      </c>
      <c r="F185" s="10">
        <f>+3.74%</f>
        <v>0.0374</v>
      </c>
    </row>
    <row r="186">
      <c r="A186" s="12">
        <v>45591.0</v>
      </c>
      <c r="B186" s="3">
        <v>2.628</v>
      </c>
      <c r="C186" s="3">
        <v>2.599</v>
      </c>
      <c r="D186" s="3">
        <v>2.669</v>
      </c>
      <c r="E186" s="3">
        <v>2.566</v>
      </c>
      <c r="F186" s="10">
        <f>+1.31%</f>
        <v>0.0131</v>
      </c>
    </row>
    <row r="187">
      <c r="A187" s="11">
        <v>45598.0</v>
      </c>
      <c r="B187" s="3">
        <v>2.603</v>
      </c>
      <c r="C187" s="3">
        <v>2.633</v>
      </c>
      <c r="D187" s="3">
        <v>2.751</v>
      </c>
      <c r="E187" s="3">
        <v>2.576</v>
      </c>
      <c r="F187" s="8">
        <v>-0.0095</v>
      </c>
    </row>
    <row r="188">
      <c r="A188" s="11">
        <v>45605.0</v>
      </c>
      <c r="B188" s="3">
        <v>2.568</v>
      </c>
      <c r="C188" s="3">
        <v>2.604</v>
      </c>
      <c r="D188" s="3">
        <v>2.629</v>
      </c>
      <c r="E188" s="3">
        <v>2.52</v>
      </c>
      <c r="F188" s="8">
        <v>-0.0134</v>
      </c>
    </row>
    <row r="189">
      <c r="A189" s="12">
        <v>45612.0</v>
      </c>
      <c r="B189" s="3">
        <v>2.497</v>
      </c>
      <c r="C189" s="3">
        <v>2.576</v>
      </c>
      <c r="D189" s="3">
        <v>2.606</v>
      </c>
      <c r="E189" s="3">
        <v>2.481</v>
      </c>
      <c r="F189" s="8">
        <v>-0.0276</v>
      </c>
    </row>
    <row r="190">
      <c r="A190" s="12">
        <v>45619.0</v>
      </c>
      <c r="B190" s="3">
        <v>2.319</v>
      </c>
      <c r="C190" s="3">
        <v>2.497</v>
      </c>
      <c r="D190" s="3">
        <v>2.497</v>
      </c>
      <c r="E190" s="3">
        <v>2.32</v>
      </c>
      <c r="F190" s="8">
        <v>-0.0711</v>
      </c>
    </row>
    <row r="191">
      <c r="A191" s="12">
        <v>45626.0</v>
      </c>
      <c r="B191" s="3">
        <v>2.316</v>
      </c>
      <c r="C191" s="3">
        <v>2.319</v>
      </c>
      <c r="D191" s="3">
        <v>2.324</v>
      </c>
      <c r="E191" s="3">
        <v>2.26</v>
      </c>
      <c r="F191" s="8">
        <v>-0.0013</v>
      </c>
    </row>
    <row r="192">
      <c r="A192" s="11">
        <v>45633.0</v>
      </c>
      <c r="B192" s="3">
        <v>2.475</v>
      </c>
      <c r="C192" s="3">
        <v>2.316</v>
      </c>
      <c r="D192" s="3">
        <v>2.479</v>
      </c>
      <c r="E192" s="3">
        <v>2.288</v>
      </c>
      <c r="F192" s="10">
        <f>+6.84%</f>
        <v>0.0684</v>
      </c>
    </row>
    <row r="193">
      <c r="A193" s="12">
        <v>45640.0</v>
      </c>
      <c r="B193" s="3">
        <v>2.52</v>
      </c>
      <c r="C193" s="3">
        <v>2.481</v>
      </c>
      <c r="D193" s="3">
        <v>2.554</v>
      </c>
      <c r="E193" s="3">
        <v>2.446</v>
      </c>
      <c r="F193" s="10">
        <f>+1.82%</f>
        <v>0.0182</v>
      </c>
    </row>
    <row r="194">
      <c r="A194" s="12">
        <v>45647.0</v>
      </c>
      <c r="B194" s="3">
        <v>2.622</v>
      </c>
      <c r="C194" s="3">
        <v>2.517</v>
      </c>
      <c r="D194" s="3">
        <v>2.632</v>
      </c>
      <c r="E194" s="3">
        <v>2.517</v>
      </c>
      <c r="F194" s="10">
        <f>+4.03%</f>
        <v>0.0403</v>
      </c>
    </row>
    <row r="195">
      <c r="A195" s="12">
        <v>45654.0</v>
      </c>
      <c r="B195" s="3">
        <v>2.654</v>
      </c>
      <c r="C195" s="3">
        <v>2.629</v>
      </c>
      <c r="D195" s="3">
        <v>2.657</v>
      </c>
      <c r="E195" s="3">
        <v>2.559</v>
      </c>
      <c r="F195" s="10">
        <f>+1.22%</f>
        <v>0.0122</v>
      </c>
    </row>
    <row r="196">
      <c r="A196" s="11">
        <v>45661.0</v>
      </c>
      <c r="B196" s="3">
        <v>2.791</v>
      </c>
    </row>
    <row r="197">
      <c r="A197" s="19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0">
        <v>44374.0</v>
      </c>
      <c r="B1" s="21">
        <v>100.116</v>
      </c>
      <c r="C1" s="22">
        <v>100.116</v>
      </c>
      <c r="D1" s="22">
        <v>100.116</v>
      </c>
      <c r="E1" s="22">
        <v>100.116</v>
      </c>
      <c r="F1" s="23">
        <v>0.0017</v>
      </c>
    </row>
    <row r="2">
      <c r="A2" s="24">
        <v>44381.0</v>
      </c>
      <c r="B2" s="25">
        <v>100.085</v>
      </c>
      <c r="C2" s="26">
        <v>100.085</v>
      </c>
      <c r="D2" s="26">
        <v>100.085</v>
      </c>
      <c r="E2" s="26">
        <v>100.085</v>
      </c>
      <c r="F2" s="27">
        <v>-3.0E-4</v>
      </c>
    </row>
    <row r="3">
      <c r="A3" s="28">
        <v>44388.0</v>
      </c>
      <c r="B3" s="25">
        <v>100.038</v>
      </c>
      <c r="C3" s="26">
        <v>100.038</v>
      </c>
      <c r="D3" s="26">
        <v>100.038</v>
      </c>
      <c r="E3" s="26">
        <v>100.038</v>
      </c>
      <c r="F3" s="27">
        <v>-5.0E-4</v>
      </c>
    </row>
    <row r="4">
      <c r="A4" s="28">
        <v>44395.0</v>
      </c>
      <c r="B4" s="29">
        <v>100.116</v>
      </c>
      <c r="C4" s="26">
        <v>100.116</v>
      </c>
      <c r="D4" s="26">
        <v>100.116</v>
      </c>
      <c r="E4" s="26">
        <v>100.116</v>
      </c>
      <c r="F4" s="30">
        <v>8.0E-4</v>
      </c>
    </row>
    <row r="5">
      <c r="A5" s="28">
        <v>44402.0</v>
      </c>
      <c r="B5" s="25">
        <v>100.107</v>
      </c>
      <c r="C5" s="26">
        <v>100.107</v>
      </c>
      <c r="D5" s="26">
        <v>100.107</v>
      </c>
      <c r="E5" s="26">
        <v>100.107</v>
      </c>
      <c r="F5" s="27">
        <v>-1.0E-4</v>
      </c>
    </row>
    <row r="6">
      <c r="A6" s="24">
        <v>44409.0</v>
      </c>
      <c r="B6" s="29">
        <v>100.596</v>
      </c>
      <c r="C6" s="26">
        <v>100.596</v>
      </c>
      <c r="D6" s="26">
        <v>100.596</v>
      </c>
      <c r="E6" s="26">
        <v>100.596</v>
      </c>
      <c r="F6" s="30">
        <v>0.0049</v>
      </c>
    </row>
    <row r="7">
      <c r="A7" s="24">
        <v>44416.0</v>
      </c>
      <c r="B7" s="29">
        <v>100.868</v>
      </c>
      <c r="C7" s="26">
        <v>100.868</v>
      </c>
      <c r="D7" s="26">
        <v>100.868</v>
      </c>
      <c r="E7" s="26">
        <v>100.868</v>
      </c>
      <c r="F7" s="30">
        <v>0.0027</v>
      </c>
    </row>
    <row r="8">
      <c r="A8" s="28">
        <v>44423.0</v>
      </c>
      <c r="B8" s="25">
        <v>100.627</v>
      </c>
      <c r="C8" s="26">
        <v>100.627</v>
      </c>
      <c r="D8" s="26">
        <v>100.627</v>
      </c>
      <c r="E8" s="26">
        <v>100.627</v>
      </c>
      <c r="F8" s="27">
        <v>-0.0024</v>
      </c>
    </row>
    <row r="9">
      <c r="A9" s="28">
        <v>44430.0</v>
      </c>
      <c r="B9" s="29">
        <v>100.718</v>
      </c>
      <c r="C9" s="26">
        <v>100.718</v>
      </c>
      <c r="D9" s="26">
        <v>100.718</v>
      </c>
      <c r="E9" s="26">
        <v>100.718</v>
      </c>
      <c r="F9" s="30">
        <v>9.0E-4</v>
      </c>
    </row>
    <row r="10">
      <c r="A10" s="28">
        <v>44437.0</v>
      </c>
      <c r="B10" s="29">
        <v>100.929</v>
      </c>
      <c r="C10" s="26">
        <v>100.929</v>
      </c>
      <c r="D10" s="26">
        <v>100.929</v>
      </c>
      <c r="E10" s="26">
        <v>100.929</v>
      </c>
      <c r="F10" s="30">
        <v>0.0021</v>
      </c>
    </row>
    <row r="11">
      <c r="A11" s="24">
        <v>44444.0</v>
      </c>
      <c r="B11" s="25">
        <v>100.594</v>
      </c>
      <c r="C11" s="26">
        <v>100.594</v>
      </c>
      <c r="D11" s="26">
        <v>100.594</v>
      </c>
      <c r="E11" s="26">
        <v>100.594</v>
      </c>
      <c r="F11" s="27">
        <v>-0.0033</v>
      </c>
    </row>
    <row r="12">
      <c r="A12" s="28">
        <v>44451.0</v>
      </c>
      <c r="B12" s="29">
        <v>100.648</v>
      </c>
      <c r="C12" s="26">
        <v>100.648</v>
      </c>
      <c r="D12" s="26">
        <v>100.648</v>
      </c>
      <c r="E12" s="26">
        <v>100.648</v>
      </c>
      <c r="F12" s="30">
        <v>5.0E-4</v>
      </c>
    </row>
    <row r="13">
      <c r="A13" s="28">
        <v>44458.0</v>
      </c>
      <c r="B13" s="25">
        <v>100.574</v>
      </c>
      <c r="C13" s="26">
        <v>100.574</v>
      </c>
      <c r="D13" s="26">
        <v>100.574</v>
      </c>
      <c r="E13" s="26">
        <v>100.574</v>
      </c>
      <c r="F13" s="27">
        <v>-7.0E-4</v>
      </c>
    </row>
    <row r="14">
      <c r="A14" s="28">
        <v>44465.0</v>
      </c>
      <c r="B14" s="25">
        <v>100.007</v>
      </c>
      <c r="C14" s="26">
        <v>100.007</v>
      </c>
      <c r="D14" s="26">
        <v>100.007</v>
      </c>
      <c r="E14" s="26">
        <v>100.007</v>
      </c>
      <c r="F14" s="27">
        <v>-0.0056</v>
      </c>
    </row>
    <row r="15">
      <c r="A15" s="24">
        <v>44472.0</v>
      </c>
      <c r="B15" s="29">
        <v>100.01</v>
      </c>
      <c r="C15" s="26">
        <v>100.01</v>
      </c>
      <c r="D15" s="26">
        <v>100.01</v>
      </c>
      <c r="E15" s="26">
        <v>100.01</v>
      </c>
      <c r="F15" s="30">
        <v>0.0</v>
      </c>
    </row>
    <row r="16">
      <c r="A16" s="28">
        <v>44479.0</v>
      </c>
      <c r="B16" s="29">
        <v>100.259</v>
      </c>
      <c r="C16" s="26">
        <v>100.259</v>
      </c>
      <c r="D16" s="26">
        <v>100.259</v>
      </c>
      <c r="E16" s="26">
        <v>100.259</v>
      </c>
      <c r="F16" s="30">
        <v>0.0025</v>
      </c>
    </row>
    <row r="17">
      <c r="A17" s="28">
        <v>44486.0</v>
      </c>
      <c r="B17" s="29">
        <v>100.295</v>
      </c>
      <c r="C17" s="26">
        <v>100.295</v>
      </c>
      <c r="D17" s="26">
        <v>100.295</v>
      </c>
      <c r="E17" s="26">
        <v>100.295</v>
      </c>
      <c r="F17" s="30">
        <v>4.0E-4</v>
      </c>
    </row>
    <row r="18">
      <c r="A18" s="28">
        <v>44493.0</v>
      </c>
      <c r="B18" s="29">
        <v>100.321</v>
      </c>
      <c r="C18" s="26">
        <v>100.321</v>
      </c>
      <c r="D18" s="26">
        <v>100.321</v>
      </c>
      <c r="E18" s="26">
        <v>100.321</v>
      </c>
      <c r="F18" s="30">
        <v>3.0E-4</v>
      </c>
    </row>
    <row r="19">
      <c r="A19" s="28">
        <v>44500.0</v>
      </c>
      <c r="B19" s="29">
        <v>100.923</v>
      </c>
      <c r="C19" s="26">
        <v>100.923</v>
      </c>
      <c r="D19" s="26">
        <v>100.923</v>
      </c>
      <c r="E19" s="26">
        <v>100.923</v>
      </c>
      <c r="F19" s="30">
        <v>0.006</v>
      </c>
    </row>
    <row r="20">
      <c r="A20" s="24">
        <v>44507.0</v>
      </c>
      <c r="B20" s="29">
        <v>101.034</v>
      </c>
      <c r="C20" s="26">
        <v>101.034</v>
      </c>
      <c r="D20" s="26">
        <v>101.034</v>
      </c>
      <c r="E20" s="26">
        <v>101.034</v>
      </c>
      <c r="F20" s="30">
        <v>0.0011</v>
      </c>
    </row>
    <row r="21">
      <c r="A21" s="28">
        <v>44514.0</v>
      </c>
      <c r="B21" s="25">
        <v>100.786</v>
      </c>
      <c r="C21" s="26">
        <v>100.786</v>
      </c>
      <c r="D21" s="26">
        <v>100.786</v>
      </c>
      <c r="E21" s="26">
        <v>100.786</v>
      </c>
      <c r="F21" s="27">
        <v>-0.0025</v>
      </c>
    </row>
    <row r="22">
      <c r="A22" s="28">
        <v>44521.0</v>
      </c>
      <c r="B22" s="25">
        <v>99.632</v>
      </c>
      <c r="C22" s="26">
        <v>99.632</v>
      </c>
      <c r="D22" s="26">
        <v>99.632</v>
      </c>
      <c r="E22" s="26">
        <v>99.632</v>
      </c>
      <c r="F22" s="27">
        <v>-0.0114</v>
      </c>
    </row>
    <row r="23">
      <c r="A23" s="28">
        <v>44528.0</v>
      </c>
      <c r="B23" s="29">
        <v>99.825</v>
      </c>
      <c r="C23" s="26">
        <v>99.825</v>
      </c>
      <c r="D23" s="26">
        <v>99.825</v>
      </c>
      <c r="E23" s="26">
        <v>99.825</v>
      </c>
      <c r="F23" s="30">
        <v>0.0019</v>
      </c>
    </row>
    <row r="24">
      <c r="A24" s="24">
        <v>44535.0</v>
      </c>
      <c r="B24" s="29">
        <v>100.417</v>
      </c>
      <c r="C24" s="26">
        <v>100.417</v>
      </c>
      <c r="D24" s="26">
        <v>100.417</v>
      </c>
      <c r="E24" s="26">
        <v>100.417</v>
      </c>
      <c r="F24" s="30">
        <v>0.0059</v>
      </c>
    </row>
    <row r="25">
      <c r="A25" s="28">
        <v>44542.0</v>
      </c>
      <c r="B25" s="29">
        <v>100.46</v>
      </c>
      <c r="C25" s="26">
        <v>100.46</v>
      </c>
      <c r="D25" s="26">
        <v>100.46</v>
      </c>
      <c r="E25" s="26">
        <v>100.46</v>
      </c>
      <c r="F25" s="30">
        <v>4.0E-4</v>
      </c>
    </row>
    <row r="26">
      <c r="A26" s="28">
        <v>44549.0</v>
      </c>
      <c r="B26" s="29">
        <v>100.748</v>
      </c>
      <c r="C26" s="26">
        <v>100.748</v>
      </c>
      <c r="D26" s="26">
        <v>100.748</v>
      </c>
      <c r="E26" s="26">
        <v>100.748</v>
      </c>
      <c r="F26" s="30">
        <v>0.0029</v>
      </c>
    </row>
    <row r="27">
      <c r="A27" s="28">
        <v>44556.0</v>
      </c>
      <c r="B27" s="29">
        <v>101.06</v>
      </c>
      <c r="C27" s="26">
        <v>101.06</v>
      </c>
      <c r="D27" s="26">
        <v>101.06</v>
      </c>
      <c r="E27" s="26">
        <v>101.06</v>
      </c>
      <c r="F27" s="30">
        <v>0.0031</v>
      </c>
    </row>
    <row r="28">
      <c r="A28" s="24">
        <v>44563.0</v>
      </c>
      <c r="B28" s="29">
        <v>101.143</v>
      </c>
      <c r="C28" s="26">
        <v>101.143</v>
      </c>
      <c r="D28" s="26">
        <v>101.143</v>
      </c>
      <c r="E28" s="26">
        <v>101.143</v>
      </c>
      <c r="F28" s="30">
        <v>8.0E-4</v>
      </c>
    </row>
    <row r="29">
      <c r="A29" s="24">
        <v>44570.0</v>
      </c>
      <c r="B29" s="29">
        <v>101.196</v>
      </c>
      <c r="C29" s="26">
        <v>101.196</v>
      </c>
      <c r="D29" s="26">
        <v>101.196</v>
      </c>
      <c r="E29" s="26">
        <v>101.196</v>
      </c>
      <c r="F29" s="30">
        <v>5.0E-4</v>
      </c>
    </row>
    <row r="30">
      <c r="A30" s="28">
        <v>44577.0</v>
      </c>
      <c r="B30" s="25">
        <v>100.564</v>
      </c>
      <c r="C30" s="26">
        <v>100.564</v>
      </c>
      <c r="D30" s="26">
        <v>100.564</v>
      </c>
      <c r="E30" s="26">
        <v>100.564</v>
      </c>
      <c r="F30" s="27">
        <v>-0.0062</v>
      </c>
    </row>
    <row r="31">
      <c r="A31" s="28">
        <v>44584.0</v>
      </c>
      <c r="B31" s="25">
        <v>99.715</v>
      </c>
      <c r="C31" s="26">
        <v>99.715</v>
      </c>
      <c r="D31" s="26">
        <v>99.715</v>
      </c>
      <c r="E31" s="26">
        <v>99.715</v>
      </c>
      <c r="F31" s="27">
        <v>-0.0084</v>
      </c>
    </row>
    <row r="32">
      <c r="A32" s="28">
        <v>44591.0</v>
      </c>
      <c r="B32" s="25">
        <v>98.925</v>
      </c>
      <c r="C32" s="26">
        <v>98.925</v>
      </c>
      <c r="D32" s="26">
        <v>98.925</v>
      </c>
      <c r="E32" s="26">
        <v>98.925</v>
      </c>
      <c r="F32" s="27">
        <v>-0.0079</v>
      </c>
    </row>
    <row r="33">
      <c r="A33" s="24">
        <v>44598.0</v>
      </c>
      <c r="B33" s="25">
        <v>98.746</v>
      </c>
      <c r="C33" s="26">
        <v>98.746</v>
      </c>
      <c r="D33" s="26">
        <v>98.746</v>
      </c>
      <c r="E33" s="26">
        <v>98.746</v>
      </c>
      <c r="F33" s="27">
        <v>-0.0018</v>
      </c>
    </row>
    <row r="34">
      <c r="A34" s="28">
        <v>44605.0</v>
      </c>
      <c r="B34" s="25">
        <v>98.431</v>
      </c>
      <c r="C34" s="26">
        <v>98.431</v>
      </c>
      <c r="D34" s="26">
        <v>98.431</v>
      </c>
      <c r="E34" s="26">
        <v>98.431</v>
      </c>
      <c r="F34" s="27">
        <v>-0.0032</v>
      </c>
    </row>
    <row r="35">
      <c r="A35" s="28">
        <v>44612.0</v>
      </c>
      <c r="B35" s="25">
        <v>97.063</v>
      </c>
      <c r="C35" s="26">
        <v>97.063</v>
      </c>
      <c r="D35" s="26">
        <v>97.063</v>
      </c>
      <c r="E35" s="26">
        <v>97.063</v>
      </c>
      <c r="F35" s="27">
        <v>-0.0139</v>
      </c>
    </row>
    <row r="36">
      <c r="A36" s="28">
        <v>44619.0</v>
      </c>
      <c r="B36" s="25">
        <v>95.668</v>
      </c>
      <c r="C36" s="26">
        <v>95.668</v>
      </c>
      <c r="D36" s="26">
        <v>95.668</v>
      </c>
      <c r="E36" s="26">
        <v>95.668</v>
      </c>
      <c r="F36" s="27">
        <v>-0.0144</v>
      </c>
    </row>
    <row r="37">
      <c r="A37" s="24">
        <v>44626.0</v>
      </c>
      <c r="B37" s="25">
        <v>95.663</v>
      </c>
      <c r="C37" s="26">
        <v>95.663</v>
      </c>
      <c r="D37" s="26">
        <v>95.663</v>
      </c>
      <c r="E37" s="26">
        <v>95.663</v>
      </c>
      <c r="F37" s="27">
        <v>-1.0E-4</v>
      </c>
    </row>
    <row r="38">
      <c r="A38" s="28">
        <v>44633.0</v>
      </c>
      <c r="B38" s="29">
        <v>96.342</v>
      </c>
      <c r="C38" s="26">
        <v>96.342</v>
      </c>
      <c r="D38" s="26">
        <v>96.342</v>
      </c>
      <c r="E38" s="26">
        <v>96.342</v>
      </c>
      <c r="F38" s="30">
        <v>0.0071</v>
      </c>
    </row>
    <row r="39">
      <c r="A39" s="28">
        <v>44640.0</v>
      </c>
      <c r="B39" s="29">
        <v>96.53</v>
      </c>
      <c r="C39" s="26">
        <v>96.53</v>
      </c>
      <c r="D39" s="26">
        <v>96.53</v>
      </c>
      <c r="E39" s="26">
        <v>96.53</v>
      </c>
      <c r="F39" s="30">
        <v>0.002</v>
      </c>
    </row>
    <row r="40">
      <c r="A40" s="28">
        <v>44647.0</v>
      </c>
      <c r="B40" s="29">
        <v>96.898</v>
      </c>
      <c r="C40" s="26">
        <v>96.898</v>
      </c>
      <c r="D40" s="26">
        <v>96.898</v>
      </c>
      <c r="E40" s="26">
        <v>96.898</v>
      </c>
      <c r="F40" s="30">
        <v>0.0038</v>
      </c>
    </row>
    <row r="41">
      <c r="A41" s="24">
        <v>44654.0</v>
      </c>
      <c r="B41" s="25">
        <v>96.478</v>
      </c>
      <c r="C41" s="26">
        <v>96.478</v>
      </c>
      <c r="D41" s="26">
        <v>96.478</v>
      </c>
      <c r="E41" s="26">
        <v>96.478</v>
      </c>
      <c r="F41" s="27">
        <v>-0.0043</v>
      </c>
    </row>
    <row r="42">
      <c r="A42" s="28">
        <v>44661.0</v>
      </c>
      <c r="B42" s="25">
        <v>95.939</v>
      </c>
      <c r="C42" s="26">
        <v>95.939</v>
      </c>
      <c r="D42" s="26">
        <v>95.939</v>
      </c>
      <c r="E42" s="26">
        <v>95.939</v>
      </c>
      <c r="F42" s="27">
        <v>-0.0056</v>
      </c>
    </row>
    <row r="43">
      <c r="A43" s="28">
        <v>44668.0</v>
      </c>
      <c r="B43" s="25">
        <v>95.73</v>
      </c>
      <c r="C43" s="26">
        <v>95.73</v>
      </c>
      <c r="D43" s="26">
        <v>95.73</v>
      </c>
      <c r="E43" s="26">
        <v>95.73</v>
      </c>
      <c r="F43" s="27">
        <v>-0.0022</v>
      </c>
    </row>
    <row r="44">
      <c r="A44" s="28">
        <v>44675.0</v>
      </c>
      <c r="B44" s="25">
        <v>94.9</v>
      </c>
      <c r="C44" s="26">
        <v>94.9</v>
      </c>
      <c r="D44" s="26">
        <v>94.9</v>
      </c>
      <c r="E44" s="26">
        <v>94.9</v>
      </c>
      <c r="F44" s="27">
        <v>-0.0087</v>
      </c>
    </row>
    <row r="45">
      <c r="A45" s="31">
        <v>44682.0</v>
      </c>
      <c r="B45" s="25">
        <v>93.725</v>
      </c>
      <c r="C45" s="26">
        <v>93.725</v>
      </c>
      <c r="D45" s="26">
        <v>93.725</v>
      </c>
      <c r="E45" s="26">
        <v>93.725</v>
      </c>
      <c r="F45" s="27">
        <v>-0.0124</v>
      </c>
    </row>
    <row r="46">
      <c r="A46" s="31">
        <v>44689.0</v>
      </c>
      <c r="B46" s="25">
        <v>93.701</v>
      </c>
      <c r="C46" s="26">
        <v>93.701</v>
      </c>
      <c r="D46" s="26">
        <v>93.701</v>
      </c>
      <c r="E46" s="26">
        <v>93.701</v>
      </c>
      <c r="F46" s="27">
        <v>-3.0E-4</v>
      </c>
    </row>
    <row r="47">
      <c r="A47" s="32">
        <v>44696.0</v>
      </c>
      <c r="B47" s="25">
        <v>93.664</v>
      </c>
      <c r="C47" s="26">
        <v>93.664</v>
      </c>
      <c r="D47" s="26">
        <v>93.664</v>
      </c>
      <c r="E47" s="26">
        <v>93.664</v>
      </c>
      <c r="F47" s="27">
        <v>-4.0E-4</v>
      </c>
    </row>
    <row r="48">
      <c r="A48" s="32">
        <v>44703.0</v>
      </c>
      <c r="B48" s="29">
        <v>94.594</v>
      </c>
      <c r="C48" s="26">
        <v>94.594</v>
      </c>
      <c r="D48" s="26">
        <v>94.594</v>
      </c>
      <c r="E48" s="26">
        <v>94.594</v>
      </c>
      <c r="F48" s="30">
        <v>0.0099</v>
      </c>
    </row>
    <row r="49">
      <c r="A49" s="32">
        <v>44710.0</v>
      </c>
      <c r="B49" s="29">
        <v>94.629</v>
      </c>
      <c r="C49" s="26">
        <v>94.629</v>
      </c>
      <c r="D49" s="26">
        <v>94.629</v>
      </c>
      <c r="E49" s="26">
        <v>94.629</v>
      </c>
      <c r="F49" s="30">
        <v>4.0E-4</v>
      </c>
    </row>
    <row r="50">
      <c r="A50" s="24">
        <v>44717.0</v>
      </c>
      <c r="B50" s="25">
        <v>93.199</v>
      </c>
      <c r="C50" s="26">
        <v>93.199</v>
      </c>
      <c r="D50" s="26">
        <v>93.199</v>
      </c>
      <c r="E50" s="26">
        <v>93.199</v>
      </c>
      <c r="F50" s="27">
        <v>-0.0151</v>
      </c>
    </row>
    <row r="51">
      <c r="A51" s="28">
        <v>44724.0</v>
      </c>
      <c r="B51" s="25">
        <v>90.226</v>
      </c>
      <c r="C51" s="26">
        <v>90.226</v>
      </c>
      <c r="D51" s="26">
        <v>90.226</v>
      </c>
      <c r="E51" s="26">
        <v>90.226</v>
      </c>
      <c r="F51" s="27">
        <v>-0.0319</v>
      </c>
    </row>
    <row r="52">
      <c r="A52" s="28">
        <v>44731.0</v>
      </c>
      <c r="B52" s="25">
        <v>89.996</v>
      </c>
      <c r="C52" s="26">
        <v>89.996</v>
      </c>
      <c r="D52" s="26">
        <v>89.996</v>
      </c>
      <c r="E52" s="26">
        <v>89.996</v>
      </c>
      <c r="F52" s="27">
        <v>-0.0025</v>
      </c>
    </row>
    <row r="53">
      <c r="A53" s="28">
        <v>44738.0</v>
      </c>
      <c r="B53" s="25">
        <v>89.016</v>
      </c>
      <c r="C53" s="26">
        <v>89.016</v>
      </c>
      <c r="D53" s="26">
        <v>89.016</v>
      </c>
      <c r="E53" s="26">
        <v>89.016</v>
      </c>
      <c r="F53" s="27">
        <v>-0.0109</v>
      </c>
    </row>
    <row r="54">
      <c r="A54" s="24">
        <v>44745.0</v>
      </c>
      <c r="B54" s="29">
        <v>89.862</v>
      </c>
      <c r="C54" s="26">
        <v>89.862</v>
      </c>
      <c r="D54" s="26">
        <v>89.862</v>
      </c>
      <c r="E54" s="26">
        <v>89.862</v>
      </c>
      <c r="F54" s="30">
        <v>0.0095</v>
      </c>
    </row>
    <row r="55">
      <c r="A55" s="28">
        <v>44752.0</v>
      </c>
      <c r="B55" s="25">
        <v>89.457</v>
      </c>
      <c r="C55" s="26">
        <v>89.457</v>
      </c>
      <c r="D55" s="26">
        <v>89.457</v>
      </c>
      <c r="E55" s="26">
        <v>89.457</v>
      </c>
      <c r="F55" s="27">
        <v>-0.0045</v>
      </c>
    </row>
    <row r="56">
      <c r="A56" s="28">
        <v>44759.0</v>
      </c>
      <c r="B56" s="29">
        <v>91.099</v>
      </c>
      <c r="C56" s="26">
        <v>91.099</v>
      </c>
      <c r="D56" s="26">
        <v>91.099</v>
      </c>
      <c r="E56" s="26">
        <v>91.099</v>
      </c>
      <c r="F56" s="30">
        <v>0.0184</v>
      </c>
    </row>
    <row r="57">
      <c r="A57" s="28">
        <v>44766.0</v>
      </c>
      <c r="B57" s="29">
        <v>92.636</v>
      </c>
      <c r="C57" s="26">
        <v>92.636</v>
      </c>
      <c r="D57" s="26">
        <v>92.636</v>
      </c>
      <c r="E57" s="26">
        <v>92.636</v>
      </c>
      <c r="F57" s="30">
        <v>0.0169</v>
      </c>
    </row>
    <row r="58">
      <c r="A58" s="28">
        <v>44773.0</v>
      </c>
      <c r="B58" s="29">
        <v>93.34</v>
      </c>
      <c r="C58" s="26">
        <v>93.34</v>
      </c>
      <c r="D58" s="26">
        <v>93.34</v>
      </c>
      <c r="E58" s="26">
        <v>93.34</v>
      </c>
      <c r="F58" s="30">
        <v>0.0076</v>
      </c>
    </row>
    <row r="59">
      <c r="A59" s="24">
        <v>44780.0</v>
      </c>
      <c r="B59" s="29">
        <v>93.677</v>
      </c>
      <c r="C59" s="26">
        <v>93.677</v>
      </c>
      <c r="D59" s="26">
        <v>93.677</v>
      </c>
      <c r="E59" s="26">
        <v>93.677</v>
      </c>
      <c r="F59" s="30">
        <v>0.0036</v>
      </c>
    </row>
    <row r="60">
      <c r="A60" s="28">
        <v>44787.0</v>
      </c>
      <c r="B60" s="25">
        <v>93.23</v>
      </c>
      <c r="C60" s="26">
        <v>93.23</v>
      </c>
      <c r="D60" s="26">
        <v>93.23</v>
      </c>
      <c r="E60" s="26">
        <v>93.23</v>
      </c>
      <c r="F60" s="27">
        <v>-0.0048</v>
      </c>
    </row>
    <row r="61">
      <c r="A61" s="28">
        <v>44794.0</v>
      </c>
      <c r="B61" s="25">
        <v>92.298</v>
      </c>
      <c r="C61" s="26">
        <v>92.298</v>
      </c>
      <c r="D61" s="26">
        <v>92.298</v>
      </c>
      <c r="E61" s="26">
        <v>92.298</v>
      </c>
      <c r="F61" s="27">
        <v>-0.01</v>
      </c>
    </row>
    <row r="62">
      <c r="A62" s="28">
        <v>44801.0</v>
      </c>
      <c r="B62" s="25">
        <v>90.361</v>
      </c>
      <c r="C62" s="26">
        <v>90.361</v>
      </c>
      <c r="D62" s="26">
        <v>90.361</v>
      </c>
      <c r="E62" s="26">
        <v>90.361</v>
      </c>
      <c r="F62" s="27">
        <v>-0.021</v>
      </c>
    </row>
    <row r="63">
      <c r="A63" s="24">
        <v>44808.0</v>
      </c>
      <c r="B63" s="29">
        <v>90.885</v>
      </c>
      <c r="C63" s="26">
        <v>90.885</v>
      </c>
      <c r="D63" s="26">
        <v>90.885</v>
      </c>
      <c r="E63" s="26">
        <v>90.885</v>
      </c>
      <c r="F63" s="30">
        <v>0.0058</v>
      </c>
    </row>
    <row r="64">
      <c r="A64" s="28">
        <v>44815.0</v>
      </c>
      <c r="B64" s="25">
        <v>90.163</v>
      </c>
      <c r="C64" s="26">
        <v>90.163</v>
      </c>
      <c r="D64" s="26">
        <v>90.163</v>
      </c>
      <c r="E64" s="26">
        <v>90.163</v>
      </c>
      <c r="F64" s="27">
        <v>-0.0079</v>
      </c>
    </row>
    <row r="65">
      <c r="A65" s="28">
        <v>44822.0</v>
      </c>
      <c r="B65" s="25">
        <v>88.39</v>
      </c>
      <c r="C65" s="26">
        <v>88.39</v>
      </c>
      <c r="D65" s="26">
        <v>88.39</v>
      </c>
      <c r="E65" s="26">
        <v>88.39</v>
      </c>
      <c r="F65" s="27">
        <v>-0.0197</v>
      </c>
    </row>
    <row r="66">
      <c r="A66" s="28">
        <v>44829.0</v>
      </c>
      <c r="B66" s="25">
        <v>86.241</v>
      </c>
      <c r="C66" s="26">
        <v>86.241</v>
      </c>
      <c r="D66" s="26">
        <v>86.241</v>
      </c>
      <c r="E66" s="26">
        <v>86.241</v>
      </c>
      <c r="F66" s="27">
        <v>-0.0243</v>
      </c>
    </row>
    <row r="67">
      <c r="A67" s="24">
        <v>44836.0</v>
      </c>
      <c r="B67" s="29">
        <v>87.111</v>
      </c>
      <c r="C67" s="26">
        <v>87.111</v>
      </c>
      <c r="D67" s="26">
        <v>87.111</v>
      </c>
      <c r="E67" s="26">
        <v>87.111</v>
      </c>
      <c r="F67" s="30">
        <v>0.0101</v>
      </c>
    </row>
    <row r="68">
      <c r="A68" s="24">
        <v>44843.0</v>
      </c>
      <c r="B68" s="25">
        <v>86.389</v>
      </c>
      <c r="C68" s="26">
        <v>86.389</v>
      </c>
      <c r="D68" s="26">
        <v>86.389</v>
      </c>
      <c r="E68" s="26">
        <v>86.389</v>
      </c>
      <c r="F68" s="27">
        <v>-0.0083</v>
      </c>
    </row>
    <row r="69">
      <c r="A69" s="28">
        <v>44850.0</v>
      </c>
      <c r="B69" s="29">
        <v>86.4</v>
      </c>
      <c r="C69" s="26">
        <v>86.4</v>
      </c>
      <c r="D69" s="26">
        <v>86.4</v>
      </c>
      <c r="E69" s="26">
        <v>86.4</v>
      </c>
      <c r="F69" s="30">
        <v>1.0E-4</v>
      </c>
    </row>
    <row r="70">
      <c r="A70" s="28">
        <v>44857.0</v>
      </c>
      <c r="B70" s="29">
        <v>88.224</v>
      </c>
      <c r="C70" s="26">
        <v>88.224</v>
      </c>
      <c r="D70" s="26">
        <v>88.224</v>
      </c>
      <c r="E70" s="26">
        <v>88.224</v>
      </c>
      <c r="F70" s="30">
        <v>0.0211</v>
      </c>
    </row>
    <row r="71">
      <c r="A71" s="28">
        <v>44864.0</v>
      </c>
      <c r="B71" s="29">
        <v>88.652</v>
      </c>
      <c r="C71" s="26">
        <v>88.652</v>
      </c>
      <c r="D71" s="26">
        <v>88.652</v>
      </c>
      <c r="E71" s="26">
        <v>88.652</v>
      </c>
      <c r="F71" s="30">
        <v>0.0049</v>
      </c>
    </row>
    <row r="72">
      <c r="A72" s="24">
        <v>44871.0</v>
      </c>
      <c r="B72" s="29">
        <v>90.514</v>
      </c>
      <c r="C72" s="26">
        <v>90.514</v>
      </c>
      <c r="D72" s="26">
        <v>90.514</v>
      </c>
      <c r="E72" s="26">
        <v>90.514</v>
      </c>
      <c r="F72" s="30">
        <v>0.021</v>
      </c>
    </row>
    <row r="73">
      <c r="A73" s="28">
        <v>44878.0</v>
      </c>
      <c r="B73" s="29">
        <v>90.961</v>
      </c>
      <c r="C73" s="26">
        <v>90.961</v>
      </c>
      <c r="D73" s="26">
        <v>90.961</v>
      </c>
      <c r="E73" s="26">
        <v>90.961</v>
      </c>
      <c r="F73" s="30">
        <v>0.0049</v>
      </c>
    </row>
    <row r="74">
      <c r="A74" s="28">
        <v>44885.0</v>
      </c>
      <c r="B74" s="29">
        <v>92.187</v>
      </c>
      <c r="C74" s="26">
        <v>92.187</v>
      </c>
      <c r="D74" s="26">
        <v>92.187</v>
      </c>
      <c r="E74" s="26">
        <v>92.187</v>
      </c>
      <c r="F74" s="30">
        <v>0.0135</v>
      </c>
    </row>
    <row r="75">
      <c r="A75" s="28">
        <v>44892.0</v>
      </c>
      <c r="B75" s="29">
        <v>92.473</v>
      </c>
      <c r="C75" s="26">
        <v>92.473</v>
      </c>
      <c r="D75" s="26">
        <v>92.473</v>
      </c>
      <c r="E75" s="26">
        <v>92.473</v>
      </c>
      <c r="F75" s="30">
        <v>0.0031</v>
      </c>
    </row>
    <row r="76">
      <c r="A76" s="24">
        <v>44899.0</v>
      </c>
      <c r="B76" s="25">
        <v>92.326</v>
      </c>
      <c r="C76" s="26">
        <v>92.326</v>
      </c>
      <c r="D76" s="26">
        <v>92.326</v>
      </c>
      <c r="E76" s="26">
        <v>92.326</v>
      </c>
      <c r="F76" s="27">
        <v>-0.0016</v>
      </c>
    </row>
    <row r="77">
      <c r="A77" s="28">
        <v>44906.0</v>
      </c>
      <c r="B77" s="25">
        <v>91.605</v>
      </c>
      <c r="C77" s="26">
        <v>91.605</v>
      </c>
      <c r="D77" s="26">
        <v>91.605</v>
      </c>
      <c r="E77" s="26">
        <v>91.605</v>
      </c>
      <c r="F77" s="27">
        <v>-0.0078</v>
      </c>
    </row>
    <row r="78">
      <c r="A78" s="28">
        <v>44913.0</v>
      </c>
      <c r="B78" s="25">
        <v>91.367</v>
      </c>
      <c r="C78" s="26">
        <v>91.367</v>
      </c>
      <c r="D78" s="26">
        <v>91.367</v>
      </c>
      <c r="E78" s="26">
        <v>91.367</v>
      </c>
      <c r="F78" s="27">
        <v>-0.0026</v>
      </c>
    </row>
    <row r="79">
      <c r="A79" s="28">
        <v>44920.0</v>
      </c>
      <c r="B79" s="25">
        <v>91.118</v>
      </c>
      <c r="C79" s="26">
        <v>91.118</v>
      </c>
      <c r="D79" s="26">
        <v>91.118</v>
      </c>
      <c r="E79" s="26">
        <v>91.118</v>
      </c>
      <c r="F79" s="27">
        <v>-0.0027</v>
      </c>
    </row>
    <row r="80">
      <c r="A80" s="24">
        <v>44927.0</v>
      </c>
      <c r="B80" s="29">
        <v>92.296</v>
      </c>
      <c r="C80" s="26">
        <v>92.296</v>
      </c>
      <c r="D80" s="26">
        <v>92.296</v>
      </c>
      <c r="E80" s="26">
        <v>92.296</v>
      </c>
      <c r="F80" s="30">
        <v>0.0129</v>
      </c>
    </row>
    <row r="81">
      <c r="A81" s="24">
        <v>44934.0</v>
      </c>
      <c r="B81" s="29">
        <v>94.015</v>
      </c>
      <c r="C81" s="26">
        <v>94.015</v>
      </c>
      <c r="D81" s="26">
        <v>94.015</v>
      </c>
      <c r="E81" s="26">
        <v>94.015</v>
      </c>
      <c r="F81" s="30">
        <v>0.0186</v>
      </c>
    </row>
    <row r="82">
      <c r="A82" s="28">
        <v>44941.0</v>
      </c>
      <c r="B82" s="29">
        <v>94.182</v>
      </c>
      <c r="C82" s="26">
        <v>94.182</v>
      </c>
      <c r="D82" s="26">
        <v>94.182</v>
      </c>
      <c r="E82" s="26">
        <v>94.182</v>
      </c>
      <c r="F82" s="30">
        <v>0.0018</v>
      </c>
    </row>
    <row r="83">
      <c r="A83" s="28">
        <v>44948.0</v>
      </c>
      <c r="B83" s="29">
        <v>94.555</v>
      </c>
      <c r="C83" s="26">
        <v>94.555</v>
      </c>
      <c r="D83" s="26">
        <v>94.555</v>
      </c>
      <c r="E83" s="26">
        <v>94.555</v>
      </c>
      <c r="F83" s="30">
        <v>0.004</v>
      </c>
    </row>
    <row r="84">
      <c r="A84" s="28">
        <v>44955.0</v>
      </c>
      <c r="B84" s="29">
        <v>95.416</v>
      </c>
      <c r="C84" s="26">
        <v>95.416</v>
      </c>
      <c r="D84" s="26">
        <v>95.416</v>
      </c>
      <c r="E84" s="26">
        <v>95.416</v>
      </c>
      <c r="F84" s="30">
        <v>0.0091</v>
      </c>
    </row>
    <row r="85">
      <c r="A85" s="24">
        <v>44962.0</v>
      </c>
      <c r="B85" s="25">
        <v>94.989</v>
      </c>
      <c r="C85" s="26">
        <v>94.989</v>
      </c>
      <c r="D85" s="26">
        <v>94.989</v>
      </c>
      <c r="E85" s="26">
        <v>94.989</v>
      </c>
      <c r="F85" s="27">
        <v>-0.0045</v>
      </c>
    </row>
    <row r="86">
      <c r="A86" s="28">
        <v>44969.0</v>
      </c>
      <c r="B86" s="25">
        <v>94.544</v>
      </c>
      <c r="C86" s="26">
        <v>94.544</v>
      </c>
      <c r="D86" s="26">
        <v>94.544</v>
      </c>
      <c r="E86" s="26">
        <v>94.544</v>
      </c>
      <c r="F86" s="27">
        <v>-0.0047</v>
      </c>
    </row>
    <row r="87">
      <c r="A87" s="28">
        <v>44976.0</v>
      </c>
      <c r="B87" s="25">
        <v>94.401</v>
      </c>
      <c r="C87" s="26">
        <v>94.401</v>
      </c>
      <c r="D87" s="26">
        <v>94.401</v>
      </c>
      <c r="E87" s="26">
        <v>94.401</v>
      </c>
      <c r="F87" s="27">
        <v>-0.0015</v>
      </c>
    </row>
    <row r="88">
      <c r="A88" s="28">
        <v>44983.0</v>
      </c>
      <c r="B88" s="25">
        <v>94.222</v>
      </c>
      <c r="C88" s="26">
        <v>94.222</v>
      </c>
      <c r="D88" s="26">
        <v>94.222</v>
      </c>
      <c r="E88" s="26">
        <v>94.222</v>
      </c>
      <c r="F88" s="27">
        <v>-0.0019</v>
      </c>
    </row>
    <row r="89">
      <c r="A89" s="24">
        <v>44990.0</v>
      </c>
      <c r="B89" s="25">
        <v>93.893</v>
      </c>
      <c r="C89" s="26">
        <v>93.893</v>
      </c>
      <c r="D89" s="26">
        <v>93.893</v>
      </c>
      <c r="E89" s="26">
        <v>93.893</v>
      </c>
      <c r="F89" s="27">
        <v>-0.0035</v>
      </c>
    </row>
    <row r="90">
      <c r="A90" s="28">
        <v>44997.0</v>
      </c>
      <c r="B90" s="25">
        <v>91.829</v>
      </c>
      <c r="C90" s="26">
        <v>91.829</v>
      </c>
      <c r="D90" s="26">
        <v>91.829</v>
      </c>
      <c r="E90" s="26">
        <v>91.829</v>
      </c>
      <c r="F90" s="27">
        <v>-0.022</v>
      </c>
    </row>
    <row r="91">
      <c r="A91" s="28">
        <v>45004.0</v>
      </c>
      <c r="B91" s="25">
        <v>91.023</v>
      </c>
      <c r="C91" s="26">
        <v>91.023</v>
      </c>
      <c r="D91" s="26">
        <v>91.023</v>
      </c>
      <c r="E91" s="26">
        <v>91.023</v>
      </c>
      <c r="F91" s="27">
        <v>-0.0088</v>
      </c>
    </row>
    <row r="92">
      <c r="A92" s="28">
        <v>45011.0</v>
      </c>
      <c r="B92" s="29">
        <v>92.462</v>
      </c>
      <c r="C92" s="26">
        <v>92.462</v>
      </c>
      <c r="D92" s="26">
        <v>92.462</v>
      </c>
      <c r="E92" s="26">
        <v>92.462</v>
      </c>
      <c r="F92" s="30">
        <v>0.0158</v>
      </c>
    </row>
    <row r="93">
      <c r="A93" s="24">
        <v>45018.0</v>
      </c>
      <c r="B93" s="29">
        <v>93.053</v>
      </c>
      <c r="C93" s="26">
        <v>93.053</v>
      </c>
      <c r="D93" s="26">
        <v>93.053</v>
      </c>
      <c r="E93" s="26">
        <v>93.053</v>
      </c>
      <c r="F93" s="30">
        <v>0.0064</v>
      </c>
    </row>
    <row r="94">
      <c r="A94" s="24">
        <v>45025.0</v>
      </c>
      <c r="B94" s="29">
        <v>93.401</v>
      </c>
      <c r="C94" s="26">
        <v>93.401</v>
      </c>
      <c r="D94" s="26">
        <v>93.401</v>
      </c>
      <c r="E94" s="26">
        <v>93.401</v>
      </c>
      <c r="F94" s="30">
        <v>0.0037</v>
      </c>
    </row>
    <row r="95">
      <c r="A95" s="28">
        <v>45032.0</v>
      </c>
      <c r="B95" s="29">
        <v>93.425</v>
      </c>
      <c r="C95" s="26">
        <v>93.425</v>
      </c>
      <c r="D95" s="26">
        <v>93.425</v>
      </c>
      <c r="E95" s="26">
        <v>93.425</v>
      </c>
      <c r="F95" s="30">
        <v>3.0E-4</v>
      </c>
    </row>
    <row r="96">
      <c r="A96" s="28">
        <v>45039.0</v>
      </c>
      <c r="B96" s="25">
        <v>93.263</v>
      </c>
      <c r="C96" s="26">
        <v>93.263</v>
      </c>
      <c r="D96" s="26">
        <v>93.263</v>
      </c>
      <c r="E96" s="26">
        <v>93.263</v>
      </c>
      <c r="F96" s="27">
        <v>-0.0017</v>
      </c>
    </row>
    <row r="97">
      <c r="A97" s="28">
        <v>45046.0</v>
      </c>
      <c r="B97" s="25">
        <v>93.145</v>
      </c>
      <c r="C97" s="26">
        <v>93.145</v>
      </c>
      <c r="D97" s="26">
        <v>93.145</v>
      </c>
      <c r="E97" s="26">
        <v>93.145</v>
      </c>
      <c r="F97" s="27">
        <v>-0.0013</v>
      </c>
    </row>
    <row r="98">
      <c r="A98" s="31">
        <v>45053.0</v>
      </c>
      <c r="B98" s="29">
        <v>93.423</v>
      </c>
      <c r="C98" s="26">
        <v>93.423</v>
      </c>
      <c r="D98" s="26">
        <v>93.423</v>
      </c>
      <c r="E98" s="26">
        <v>93.423</v>
      </c>
      <c r="F98" s="30">
        <v>0.003</v>
      </c>
    </row>
    <row r="99">
      <c r="A99" s="32">
        <v>45060.0</v>
      </c>
      <c r="B99" s="29">
        <v>93.833</v>
      </c>
      <c r="C99" s="26">
        <v>93.833</v>
      </c>
      <c r="D99" s="26">
        <v>93.833</v>
      </c>
      <c r="E99" s="26">
        <v>93.833</v>
      </c>
      <c r="F99" s="30">
        <v>0.0044</v>
      </c>
    </row>
    <row r="100">
      <c r="A100" s="32">
        <v>45067.0</v>
      </c>
      <c r="B100" s="25">
        <v>93.25</v>
      </c>
      <c r="C100" s="26">
        <v>93.25</v>
      </c>
      <c r="D100" s="26">
        <v>93.25</v>
      </c>
      <c r="E100" s="26">
        <v>93.25</v>
      </c>
      <c r="F100" s="27">
        <v>-0.0062</v>
      </c>
    </row>
    <row r="101">
      <c r="A101" s="32">
        <v>45074.0</v>
      </c>
      <c r="B101" s="29">
        <v>93.908</v>
      </c>
      <c r="C101" s="26">
        <v>93.908</v>
      </c>
      <c r="D101" s="26">
        <v>93.908</v>
      </c>
      <c r="E101" s="26">
        <v>93.908</v>
      </c>
      <c r="F101" s="30">
        <v>0.0071</v>
      </c>
    </row>
    <row r="102">
      <c r="A102" s="24">
        <v>45081.0</v>
      </c>
      <c r="B102" s="29">
        <v>94.3</v>
      </c>
      <c r="C102" s="26">
        <v>94.3</v>
      </c>
      <c r="D102" s="26">
        <v>94.3</v>
      </c>
      <c r="E102" s="26">
        <v>94.3</v>
      </c>
      <c r="F102" s="30">
        <v>0.0042</v>
      </c>
    </row>
    <row r="103">
      <c r="A103" s="28">
        <v>45088.0</v>
      </c>
      <c r="B103" s="29">
        <v>94.562</v>
      </c>
      <c r="C103" s="26">
        <v>94.562</v>
      </c>
      <c r="D103" s="26">
        <v>94.562</v>
      </c>
      <c r="E103" s="26">
        <v>94.562</v>
      </c>
      <c r="F103" s="30">
        <v>0.0028</v>
      </c>
    </row>
    <row r="104">
      <c r="A104" s="28">
        <v>45095.0</v>
      </c>
      <c r="B104" s="25">
        <v>93.748</v>
      </c>
      <c r="C104" s="26">
        <v>93.748</v>
      </c>
      <c r="D104" s="26">
        <v>93.748</v>
      </c>
      <c r="E104" s="26">
        <v>93.748</v>
      </c>
      <c r="F104" s="27">
        <v>-0.0086</v>
      </c>
    </row>
    <row r="105">
      <c r="A105" s="28">
        <v>45102.0</v>
      </c>
      <c r="B105" s="29">
        <v>94.169</v>
      </c>
      <c r="C105" s="26">
        <v>94.169</v>
      </c>
      <c r="D105" s="26">
        <v>94.169</v>
      </c>
      <c r="E105" s="26">
        <v>94.169</v>
      </c>
      <c r="F105" s="30">
        <v>0.0045</v>
      </c>
    </row>
    <row r="106">
      <c r="A106" s="24">
        <v>45109.0</v>
      </c>
      <c r="B106" s="25">
        <v>93.363</v>
      </c>
      <c r="C106" s="26">
        <v>93.363</v>
      </c>
      <c r="D106" s="26">
        <v>93.363</v>
      </c>
      <c r="E106" s="26">
        <v>93.363</v>
      </c>
      <c r="F106" s="27">
        <v>-0.0086</v>
      </c>
    </row>
    <row r="107">
      <c r="A107" s="24">
        <v>45116.0</v>
      </c>
      <c r="B107" s="29">
        <v>94.455</v>
      </c>
      <c r="C107" s="26">
        <v>94.455</v>
      </c>
      <c r="D107" s="26">
        <v>94.455</v>
      </c>
      <c r="E107" s="26">
        <v>94.455</v>
      </c>
      <c r="F107" s="30">
        <v>0.0117</v>
      </c>
    </row>
    <row r="108">
      <c r="A108" s="28">
        <v>45123.0</v>
      </c>
      <c r="B108" s="29">
        <v>94.949</v>
      </c>
      <c r="C108" s="26">
        <v>94.949</v>
      </c>
      <c r="D108" s="26">
        <v>94.949</v>
      </c>
      <c r="E108" s="26">
        <v>94.949</v>
      </c>
      <c r="F108" s="30">
        <v>0.0052</v>
      </c>
    </row>
    <row r="109">
      <c r="A109" s="28">
        <v>45130.0</v>
      </c>
      <c r="B109" s="29">
        <v>95.484</v>
      </c>
      <c r="C109" s="26">
        <v>95.484</v>
      </c>
      <c r="D109" s="26">
        <v>95.484</v>
      </c>
      <c r="E109" s="26">
        <v>95.484</v>
      </c>
      <c r="F109" s="30">
        <v>0.0056</v>
      </c>
    </row>
    <row r="110">
      <c r="A110" s="28">
        <v>45137.0</v>
      </c>
      <c r="B110" s="25">
        <v>94.792</v>
      </c>
      <c r="C110" s="26">
        <v>94.792</v>
      </c>
      <c r="D110" s="26">
        <v>94.792</v>
      </c>
      <c r="E110" s="26">
        <v>94.792</v>
      </c>
      <c r="F110" s="27">
        <v>-0.0072</v>
      </c>
    </row>
    <row r="111">
      <c r="A111" s="24">
        <v>45144.0</v>
      </c>
      <c r="B111" s="29">
        <v>95.111</v>
      </c>
      <c r="C111" s="26">
        <v>95.111</v>
      </c>
      <c r="D111" s="26">
        <v>95.111</v>
      </c>
      <c r="E111" s="26">
        <v>95.111</v>
      </c>
      <c r="F111" s="30">
        <v>0.0034</v>
      </c>
    </row>
    <row r="112">
      <c r="A112" s="28">
        <v>45151.0</v>
      </c>
      <c r="B112" s="25">
        <v>94.396</v>
      </c>
      <c r="C112" s="26">
        <v>94.396</v>
      </c>
      <c r="D112" s="26">
        <v>94.396</v>
      </c>
      <c r="E112" s="26">
        <v>94.396</v>
      </c>
      <c r="F112" s="27">
        <v>-0.0075</v>
      </c>
    </row>
    <row r="113">
      <c r="A113" s="28">
        <v>45158.0</v>
      </c>
      <c r="B113" s="29">
        <v>94.77</v>
      </c>
      <c r="C113" s="26">
        <v>94.77</v>
      </c>
      <c r="D113" s="26">
        <v>94.77</v>
      </c>
      <c r="E113" s="26">
        <v>94.77</v>
      </c>
      <c r="F113" s="30">
        <v>0.004</v>
      </c>
    </row>
    <row r="114">
      <c r="A114" s="28">
        <v>45165.0</v>
      </c>
      <c r="B114" s="29">
        <v>95.262</v>
      </c>
      <c r="C114" s="26">
        <v>95.262</v>
      </c>
      <c r="D114" s="26">
        <v>95.262</v>
      </c>
      <c r="E114" s="26">
        <v>95.262</v>
      </c>
      <c r="F114" s="30">
        <v>0.0052</v>
      </c>
    </row>
    <row r="115">
      <c r="A115" s="24">
        <v>45172.0</v>
      </c>
      <c r="B115" s="25">
        <v>94.957</v>
      </c>
      <c r="C115" s="26">
        <v>95.312</v>
      </c>
      <c r="D115" s="26">
        <v>95.312</v>
      </c>
      <c r="E115" s="26">
        <v>94.934</v>
      </c>
      <c r="F115" s="27">
        <v>-0.0032</v>
      </c>
    </row>
    <row r="116">
      <c r="A116" s="28">
        <v>45179.0</v>
      </c>
      <c r="B116" s="29">
        <v>95.327</v>
      </c>
      <c r="C116" s="26">
        <v>94.979</v>
      </c>
      <c r="D116" s="26">
        <v>95.327</v>
      </c>
      <c r="E116" s="26">
        <v>94.979</v>
      </c>
      <c r="F116" s="30">
        <v>0.0039</v>
      </c>
    </row>
    <row r="117">
      <c r="A117" s="28">
        <v>45186.0</v>
      </c>
      <c r="B117" s="29">
        <v>95.397</v>
      </c>
      <c r="C117" s="26">
        <v>95.75</v>
      </c>
      <c r="D117" s="26">
        <v>95.75</v>
      </c>
      <c r="E117" s="26">
        <v>95.397</v>
      </c>
      <c r="F117" s="30">
        <v>7.0E-4</v>
      </c>
    </row>
    <row r="118">
      <c r="A118" s="28">
        <v>45193.0</v>
      </c>
      <c r="B118" s="25">
        <v>94.412</v>
      </c>
      <c r="C118" s="26">
        <v>95.245</v>
      </c>
      <c r="D118" s="26">
        <v>95.245</v>
      </c>
      <c r="E118" s="26">
        <v>94.412</v>
      </c>
      <c r="F118" s="27">
        <v>-0.0103</v>
      </c>
    </row>
    <row r="119">
      <c r="A119" s="24">
        <v>45200.0</v>
      </c>
      <c r="B119" s="25">
        <v>93.772</v>
      </c>
      <c r="C119" s="26">
        <v>94.694</v>
      </c>
      <c r="D119" s="26">
        <v>94.694</v>
      </c>
      <c r="E119" s="26">
        <v>93.691</v>
      </c>
      <c r="F119" s="27">
        <v>-0.0068</v>
      </c>
    </row>
    <row r="120">
      <c r="A120" s="24">
        <v>45207.0</v>
      </c>
      <c r="B120" s="29">
        <v>94.795</v>
      </c>
      <c r="C120" s="26">
        <v>93.745</v>
      </c>
      <c r="D120" s="26">
        <v>94.795</v>
      </c>
      <c r="E120" s="26">
        <v>93.671</v>
      </c>
      <c r="F120" s="30">
        <v>0.0109</v>
      </c>
    </row>
    <row r="121">
      <c r="A121" s="28">
        <v>45214.0</v>
      </c>
      <c r="B121" s="25">
        <v>93.413</v>
      </c>
      <c r="C121" s="26">
        <v>94.476</v>
      </c>
      <c r="D121" s="26">
        <v>94.476</v>
      </c>
      <c r="E121" s="26">
        <v>93.413</v>
      </c>
      <c r="F121" s="27">
        <v>-0.0146</v>
      </c>
    </row>
    <row r="122">
      <c r="A122" s="28">
        <v>45221.0</v>
      </c>
      <c r="B122" s="25">
        <v>93.255</v>
      </c>
      <c r="C122" s="26">
        <v>93.067</v>
      </c>
      <c r="D122" s="26">
        <v>93.523</v>
      </c>
      <c r="E122" s="26">
        <v>92.89</v>
      </c>
      <c r="F122" s="27">
        <v>-0.0017</v>
      </c>
    </row>
    <row r="123">
      <c r="A123" s="28">
        <v>45228.0</v>
      </c>
      <c r="B123" s="29">
        <v>93.722</v>
      </c>
      <c r="C123" s="26">
        <v>93.396</v>
      </c>
      <c r="D123" s="26">
        <v>93.722</v>
      </c>
      <c r="E123" s="26">
        <v>93.396</v>
      </c>
      <c r="F123" s="30">
        <v>0.005</v>
      </c>
    </row>
    <row r="124">
      <c r="A124" s="24">
        <v>45235.0</v>
      </c>
      <c r="B124" s="29">
        <v>95.128</v>
      </c>
      <c r="C124" s="26">
        <v>94.823</v>
      </c>
      <c r="D124" s="26">
        <v>95.128</v>
      </c>
      <c r="E124" s="26">
        <v>94.823</v>
      </c>
      <c r="F124" s="30">
        <v>0.015</v>
      </c>
    </row>
    <row r="125">
      <c r="A125" s="28">
        <v>45242.0</v>
      </c>
      <c r="B125" s="29">
        <v>96.003</v>
      </c>
      <c r="C125" s="26">
        <v>94.978</v>
      </c>
      <c r="D125" s="26">
        <v>96.057</v>
      </c>
      <c r="E125" s="26">
        <v>94.978</v>
      </c>
      <c r="F125" s="30">
        <v>0.0092</v>
      </c>
    </row>
    <row r="126">
      <c r="A126" s="28">
        <v>45249.0</v>
      </c>
      <c r="B126" s="29">
        <v>96.46</v>
      </c>
      <c r="C126" s="26">
        <v>96.148</v>
      </c>
      <c r="D126" s="26">
        <v>96.46</v>
      </c>
      <c r="E126" s="26">
        <v>96.148</v>
      </c>
      <c r="F126" s="30">
        <v>0.0048</v>
      </c>
    </row>
    <row r="127">
      <c r="A127" s="28">
        <v>45256.0</v>
      </c>
      <c r="B127" s="29">
        <v>97.43</v>
      </c>
      <c r="C127" s="26">
        <v>96.551</v>
      </c>
      <c r="D127" s="26">
        <v>97.43</v>
      </c>
      <c r="E127" s="26">
        <v>96.551</v>
      </c>
      <c r="F127" s="30">
        <v>0.0101</v>
      </c>
    </row>
    <row r="128">
      <c r="A128" s="24">
        <v>45263.0</v>
      </c>
      <c r="B128" s="29">
        <v>98.479</v>
      </c>
      <c r="C128" s="26">
        <v>97.911</v>
      </c>
      <c r="D128" s="26">
        <v>98.479</v>
      </c>
      <c r="E128" s="26">
        <v>97.911</v>
      </c>
      <c r="F128" s="30">
        <v>0.0108</v>
      </c>
    </row>
    <row r="129">
      <c r="A129" s="28">
        <v>45270.0</v>
      </c>
      <c r="B129" s="29">
        <v>99.707</v>
      </c>
      <c r="C129" s="26">
        <v>98.531</v>
      </c>
      <c r="D129" s="26">
        <v>99.707</v>
      </c>
      <c r="E129" s="26">
        <v>98.531</v>
      </c>
      <c r="F129" s="30">
        <v>0.0125</v>
      </c>
    </row>
    <row r="130">
      <c r="A130" s="28">
        <v>45277.0</v>
      </c>
      <c r="B130" s="29">
        <v>100.03</v>
      </c>
      <c r="C130" s="26">
        <v>99.95</v>
      </c>
      <c r="D130" s="26">
        <v>100.096</v>
      </c>
      <c r="E130" s="26">
        <v>99.935</v>
      </c>
      <c r="F130" s="30">
        <v>0.0032</v>
      </c>
    </row>
    <row r="131">
      <c r="A131" s="28">
        <v>45284.0</v>
      </c>
      <c r="B131" s="29">
        <v>100.123</v>
      </c>
      <c r="C131" s="26">
        <v>100.03</v>
      </c>
      <c r="D131" s="26">
        <v>100.146</v>
      </c>
      <c r="E131" s="26">
        <v>100.03</v>
      </c>
      <c r="F131" s="30">
        <v>9.0E-4</v>
      </c>
    </row>
    <row r="132">
      <c r="A132" s="28">
        <v>45291.0</v>
      </c>
      <c r="B132" s="25">
        <v>99.705</v>
      </c>
      <c r="C132" s="26">
        <v>100.134</v>
      </c>
      <c r="D132" s="26">
        <v>100.134</v>
      </c>
      <c r="E132" s="26">
        <v>99.705</v>
      </c>
      <c r="F132" s="27">
        <v>-0.0042</v>
      </c>
    </row>
    <row r="133">
      <c r="A133" s="24">
        <v>45298.0</v>
      </c>
      <c r="B133" s="29">
        <v>100.076</v>
      </c>
      <c r="C133" s="26">
        <v>99.429</v>
      </c>
      <c r="D133" s="26">
        <v>100.076</v>
      </c>
      <c r="E133" s="26">
        <v>99.429</v>
      </c>
      <c r="F133" s="30">
        <v>0.0037</v>
      </c>
    </row>
    <row r="134">
      <c r="A134" s="28">
        <v>45305.0</v>
      </c>
      <c r="B134" s="25">
        <v>99.685</v>
      </c>
      <c r="C134" s="26">
        <v>100.101</v>
      </c>
      <c r="D134" s="26">
        <v>100.187</v>
      </c>
      <c r="E134" s="26">
        <v>99.597</v>
      </c>
      <c r="F134" s="27">
        <v>-0.0039</v>
      </c>
    </row>
    <row r="135">
      <c r="A135" s="28">
        <v>45312.0</v>
      </c>
      <c r="B135" s="29">
        <v>100.079</v>
      </c>
      <c r="C135" s="26">
        <v>99.86</v>
      </c>
      <c r="D135" s="26">
        <v>100.173</v>
      </c>
      <c r="E135" s="26">
        <v>99.86</v>
      </c>
      <c r="F135" s="30">
        <v>0.004</v>
      </c>
    </row>
    <row r="136">
      <c r="A136" s="28">
        <v>45319.0</v>
      </c>
      <c r="B136" s="29">
        <v>100.789</v>
      </c>
      <c r="C136" s="26">
        <v>100.537</v>
      </c>
      <c r="D136" s="26">
        <v>100.789</v>
      </c>
      <c r="E136" s="26">
        <v>100.537</v>
      </c>
      <c r="F136" s="30">
        <v>0.0071</v>
      </c>
    </row>
    <row r="137">
      <c r="A137" s="24">
        <v>45326.0</v>
      </c>
      <c r="B137" s="25">
        <v>99.948</v>
      </c>
      <c r="C137" s="26">
        <v>100.577</v>
      </c>
      <c r="D137" s="26">
        <v>100.577</v>
      </c>
      <c r="E137" s="26">
        <v>99.948</v>
      </c>
      <c r="F137" s="27">
        <v>-0.0083</v>
      </c>
    </row>
    <row r="138">
      <c r="A138" s="28">
        <v>45333.0</v>
      </c>
      <c r="B138" s="29">
        <v>100.114</v>
      </c>
      <c r="C138" s="26">
        <v>99.932</v>
      </c>
      <c r="D138" s="26">
        <v>100.117</v>
      </c>
      <c r="E138" s="26">
        <v>99.932</v>
      </c>
      <c r="F138" s="30">
        <v>0.0017</v>
      </c>
    </row>
    <row r="139">
      <c r="A139" s="28">
        <v>45340.0</v>
      </c>
      <c r="B139" s="29">
        <v>100.539</v>
      </c>
      <c r="C139" s="26">
        <v>100.212</v>
      </c>
      <c r="D139" s="26">
        <v>100.539</v>
      </c>
      <c r="E139" s="26">
        <v>100.206</v>
      </c>
      <c r="F139" s="30">
        <v>0.0042</v>
      </c>
    </row>
    <row r="140">
      <c r="A140" s="28">
        <v>45347.0</v>
      </c>
      <c r="B140" s="25">
        <v>100.348</v>
      </c>
      <c r="C140" s="26">
        <v>100.581</v>
      </c>
      <c r="D140" s="26">
        <v>100.631</v>
      </c>
      <c r="E140" s="26">
        <v>100.348</v>
      </c>
      <c r="F140" s="27">
        <v>-0.0019</v>
      </c>
    </row>
    <row r="141">
      <c r="A141" s="24">
        <v>45354.0</v>
      </c>
      <c r="B141" s="29">
        <v>100.819</v>
      </c>
      <c r="C141" s="26">
        <v>100.519</v>
      </c>
      <c r="D141" s="26">
        <v>100.819</v>
      </c>
      <c r="E141" s="26">
        <v>100.519</v>
      </c>
      <c r="F141" s="30">
        <v>0.0047</v>
      </c>
    </row>
    <row r="142">
      <c r="A142" s="28">
        <v>45361.0</v>
      </c>
      <c r="B142" s="29">
        <v>101.477</v>
      </c>
      <c r="C142" s="26">
        <v>101.054</v>
      </c>
      <c r="D142" s="26">
        <v>101.477</v>
      </c>
      <c r="E142" s="26">
        <v>101.051</v>
      </c>
      <c r="F142" s="30">
        <v>0.0065</v>
      </c>
    </row>
    <row r="143">
      <c r="A143" s="28">
        <v>45368.0</v>
      </c>
      <c r="B143" s="25">
        <v>101.406</v>
      </c>
      <c r="C143" s="26">
        <v>101.317</v>
      </c>
      <c r="D143" s="26">
        <v>101.406</v>
      </c>
      <c r="E143" s="26">
        <v>101.182</v>
      </c>
      <c r="F143" s="27">
        <v>-7.0E-4</v>
      </c>
    </row>
    <row r="144">
      <c r="A144" s="28">
        <v>45375.0</v>
      </c>
      <c r="B144" s="29">
        <v>101.643</v>
      </c>
      <c r="C144" s="26">
        <v>101.461</v>
      </c>
      <c r="D144" s="26">
        <v>101.643</v>
      </c>
      <c r="E144" s="26">
        <v>101.402</v>
      </c>
      <c r="F144" s="30">
        <v>0.0023</v>
      </c>
    </row>
    <row r="145">
      <c r="A145" s="28">
        <v>45382.0</v>
      </c>
      <c r="B145" s="25">
        <v>101.615</v>
      </c>
      <c r="C145" s="26">
        <v>101.706</v>
      </c>
      <c r="D145" s="26">
        <v>101.706</v>
      </c>
      <c r="E145" s="26">
        <v>101.515</v>
      </c>
      <c r="F145" s="27">
        <v>-3.0E-4</v>
      </c>
    </row>
    <row r="146">
      <c r="A146" s="24">
        <v>45389.0</v>
      </c>
      <c r="B146" s="25">
        <v>101.242</v>
      </c>
      <c r="C146" s="26">
        <v>101.4</v>
      </c>
      <c r="D146" s="26">
        <v>101.682</v>
      </c>
      <c r="E146" s="26">
        <v>101.242</v>
      </c>
      <c r="F146" s="27">
        <v>-0.0037</v>
      </c>
    </row>
    <row r="147">
      <c r="A147" s="28">
        <v>45396.0</v>
      </c>
      <c r="B147" s="25">
        <v>100.672</v>
      </c>
      <c r="C147" s="26">
        <v>101.369</v>
      </c>
      <c r="D147" s="26">
        <v>101.369</v>
      </c>
      <c r="E147" s="26">
        <v>100.516</v>
      </c>
      <c r="F147" s="27">
        <v>-0.0056</v>
      </c>
    </row>
    <row r="148">
      <c r="A148" s="28">
        <v>45403.0</v>
      </c>
      <c r="B148" s="29">
        <v>101.292</v>
      </c>
      <c r="C148" s="26">
        <v>100.657</v>
      </c>
      <c r="D148" s="26">
        <v>101.382</v>
      </c>
      <c r="E148" s="26">
        <v>100.657</v>
      </c>
      <c r="F148" s="30">
        <v>0.0062</v>
      </c>
    </row>
    <row r="149">
      <c r="A149" s="28">
        <v>45410.0</v>
      </c>
      <c r="B149" s="29">
        <v>101.543</v>
      </c>
      <c r="C149" s="26">
        <v>101.285</v>
      </c>
      <c r="D149" s="26">
        <v>101.758</v>
      </c>
      <c r="E149" s="26">
        <v>101.285</v>
      </c>
      <c r="F149" s="30">
        <v>0.0025</v>
      </c>
    </row>
    <row r="150">
      <c r="A150" s="31">
        <v>45417.0</v>
      </c>
      <c r="B150" s="29">
        <v>102.501</v>
      </c>
      <c r="C150" s="26">
        <v>101.731</v>
      </c>
      <c r="D150" s="26">
        <v>102.501</v>
      </c>
      <c r="E150" s="26">
        <v>101.731</v>
      </c>
      <c r="F150" s="30">
        <v>0.0094</v>
      </c>
    </row>
    <row r="151">
      <c r="A151" s="32">
        <v>45424.0</v>
      </c>
      <c r="B151" s="29">
        <v>103.224</v>
      </c>
      <c r="C151" s="26">
        <v>102.865</v>
      </c>
      <c r="D151" s="26">
        <v>103.224</v>
      </c>
      <c r="E151" s="26">
        <v>102.862</v>
      </c>
      <c r="F151" s="30">
        <v>0.0071</v>
      </c>
    </row>
    <row r="152">
      <c r="A152" s="32">
        <v>45431.0</v>
      </c>
      <c r="B152" s="25">
        <v>103.159</v>
      </c>
      <c r="C152" s="26">
        <v>103.112</v>
      </c>
      <c r="D152" s="26">
        <v>103.159</v>
      </c>
      <c r="E152" s="26">
        <v>103.057</v>
      </c>
      <c r="F152" s="27">
        <v>-6.0E-4</v>
      </c>
    </row>
    <row r="153">
      <c r="A153" s="32">
        <v>45438.0</v>
      </c>
      <c r="B153" s="25">
        <v>102.545</v>
      </c>
      <c r="C153" s="26">
        <v>102.919</v>
      </c>
      <c r="D153" s="26">
        <v>103.004</v>
      </c>
      <c r="E153" s="26">
        <v>102.545</v>
      </c>
      <c r="F153" s="27">
        <v>-0.006</v>
      </c>
    </row>
    <row r="154">
      <c r="A154" s="24">
        <v>45445.0</v>
      </c>
      <c r="B154" s="29">
        <v>103.161</v>
      </c>
      <c r="C154" s="26">
        <v>102.643</v>
      </c>
      <c r="D154" s="26">
        <v>103.161</v>
      </c>
      <c r="E154" s="26">
        <v>102.643</v>
      </c>
      <c r="F154" s="30">
        <v>0.006</v>
      </c>
    </row>
    <row r="155">
      <c r="A155" s="24">
        <v>45452.0</v>
      </c>
      <c r="B155" s="25">
        <v>102.825</v>
      </c>
      <c r="C155" s="26">
        <v>103.07</v>
      </c>
      <c r="D155" s="26">
        <v>103.07</v>
      </c>
      <c r="E155" s="26">
        <v>102.674</v>
      </c>
      <c r="F155" s="27">
        <v>-0.0033</v>
      </c>
    </row>
    <row r="156">
      <c r="A156" s="28">
        <v>45459.0</v>
      </c>
      <c r="B156" s="25">
        <v>102.699</v>
      </c>
      <c r="C156" s="26">
        <v>102.423</v>
      </c>
      <c r="D156" s="26">
        <v>102.699</v>
      </c>
      <c r="E156" s="26">
        <v>102.325</v>
      </c>
      <c r="F156" s="27">
        <v>-0.0012</v>
      </c>
    </row>
    <row r="157">
      <c r="A157" s="28">
        <v>45466.0</v>
      </c>
      <c r="B157" s="25">
        <v>102.619</v>
      </c>
      <c r="C157" s="26">
        <v>102.725</v>
      </c>
      <c r="D157" s="26">
        <v>102.837</v>
      </c>
      <c r="E157" s="26">
        <v>102.619</v>
      </c>
      <c r="F157" s="27">
        <v>-8.0E-4</v>
      </c>
    </row>
    <row r="158">
      <c r="A158" s="28">
        <v>45473.0</v>
      </c>
      <c r="B158" s="29">
        <v>103.015</v>
      </c>
      <c r="C158" s="26">
        <v>102.683</v>
      </c>
      <c r="D158" s="26">
        <v>103.015</v>
      </c>
      <c r="E158" s="26">
        <v>102.513</v>
      </c>
      <c r="F158" s="30">
        <v>0.0039</v>
      </c>
    </row>
    <row r="159">
      <c r="A159" s="24">
        <v>45480.0</v>
      </c>
      <c r="B159" s="29">
        <v>103.256</v>
      </c>
      <c r="C159" s="26">
        <v>103.148</v>
      </c>
      <c r="D159" s="26">
        <v>103.256</v>
      </c>
      <c r="E159" s="26">
        <v>103.087</v>
      </c>
      <c r="F159" s="30">
        <v>0.0023</v>
      </c>
    </row>
    <row r="160">
      <c r="A160" s="28">
        <v>45487.0</v>
      </c>
      <c r="B160" s="29">
        <v>103.614</v>
      </c>
      <c r="C160" s="26">
        <v>103.503</v>
      </c>
      <c r="D160" s="26">
        <v>103.614</v>
      </c>
      <c r="E160" s="26">
        <v>103.442</v>
      </c>
      <c r="F160" s="30">
        <v>0.0035</v>
      </c>
    </row>
    <row r="161">
      <c r="A161" s="28">
        <v>45494.0</v>
      </c>
      <c r="B161" s="25">
        <v>103.176</v>
      </c>
      <c r="C161" s="26">
        <v>103.405</v>
      </c>
      <c r="D161" s="26">
        <v>103.671</v>
      </c>
      <c r="E161" s="26">
        <v>103.176</v>
      </c>
      <c r="F161" s="27">
        <v>-0.0042</v>
      </c>
    </row>
    <row r="162">
      <c r="A162" s="28">
        <v>45501.0</v>
      </c>
      <c r="B162" s="29">
        <v>103.76</v>
      </c>
      <c r="C162" s="26">
        <v>103.362</v>
      </c>
      <c r="D162" s="26">
        <v>103.76</v>
      </c>
      <c r="E162" s="26">
        <v>103.362</v>
      </c>
      <c r="F162" s="30">
        <v>0.0057</v>
      </c>
    </row>
    <row r="163">
      <c r="A163" s="24">
        <v>45508.0</v>
      </c>
      <c r="B163" s="25">
        <v>102.729</v>
      </c>
      <c r="C163" s="26">
        <v>103.748</v>
      </c>
      <c r="D163" s="26">
        <v>103.748</v>
      </c>
      <c r="E163" s="26">
        <v>102.391</v>
      </c>
      <c r="F163" s="27">
        <v>-0.0099</v>
      </c>
    </row>
    <row r="164">
      <c r="A164" s="28">
        <v>45515.0</v>
      </c>
      <c r="B164" s="29">
        <v>103.274</v>
      </c>
      <c r="C164" s="26">
        <v>102.934</v>
      </c>
      <c r="D164" s="26">
        <v>103.274</v>
      </c>
      <c r="E164" s="26">
        <v>102.934</v>
      </c>
      <c r="F164" s="30">
        <v>0.0053</v>
      </c>
    </row>
    <row r="165">
      <c r="A165" s="28">
        <v>45522.0</v>
      </c>
      <c r="B165" s="29">
        <v>104.117</v>
      </c>
      <c r="C165" s="26">
        <v>103.793</v>
      </c>
      <c r="D165" s="26">
        <v>104.117</v>
      </c>
      <c r="E165" s="26">
        <v>103.793</v>
      </c>
      <c r="F165" s="30">
        <v>0.0082</v>
      </c>
    </row>
    <row r="166">
      <c r="A166" s="28">
        <v>45529.0</v>
      </c>
      <c r="B166" s="29">
        <v>104.67</v>
      </c>
      <c r="C166" s="26">
        <v>104.198</v>
      </c>
      <c r="D166" s="26">
        <v>104.67</v>
      </c>
      <c r="E166" s="26">
        <v>104.198</v>
      </c>
      <c r="F166" s="30">
        <v>0.0053</v>
      </c>
    </row>
    <row r="167">
      <c r="A167" s="24">
        <v>45536.0</v>
      </c>
      <c r="B167" s="25">
        <v>104.525</v>
      </c>
      <c r="C167" s="26">
        <v>104.77</v>
      </c>
      <c r="D167" s="26">
        <v>104.77</v>
      </c>
      <c r="E167" s="26">
        <v>104.333</v>
      </c>
      <c r="F167" s="27">
        <v>-0.0014</v>
      </c>
    </row>
    <row r="168">
      <c r="A168" s="24">
        <v>45543.0</v>
      </c>
      <c r="B168" s="25">
        <v>104.478</v>
      </c>
      <c r="C168" s="26">
        <v>104.425</v>
      </c>
      <c r="D168" s="26">
        <v>104.478</v>
      </c>
      <c r="E168" s="26">
        <v>104.35</v>
      </c>
      <c r="F168" s="27">
        <v>-4.0E-4</v>
      </c>
    </row>
    <row r="169">
      <c r="A169" s="28">
        <v>45550.0</v>
      </c>
      <c r="B169" s="29">
        <v>105.129</v>
      </c>
      <c r="C169" s="26">
        <v>104.552</v>
      </c>
      <c r="D169" s="26">
        <v>105.129</v>
      </c>
      <c r="E169" s="26">
        <v>104.552</v>
      </c>
      <c r="F169" s="30">
        <v>0.0062</v>
      </c>
    </row>
    <row r="170">
      <c r="A170" s="28">
        <v>45557.0</v>
      </c>
      <c r="B170" s="29">
        <v>105.266</v>
      </c>
      <c r="C170" s="26">
        <v>105.045</v>
      </c>
      <c r="D170" s="26">
        <v>105.266</v>
      </c>
      <c r="E170" s="26">
        <v>104.896</v>
      </c>
      <c r="F170" s="30">
        <v>0.0013</v>
      </c>
    </row>
    <row r="171">
      <c r="A171" s="28">
        <v>45564.0</v>
      </c>
      <c r="B171" s="25">
        <v>105.126</v>
      </c>
      <c r="C171" s="26">
        <v>105.506</v>
      </c>
      <c r="D171" s="26">
        <v>105.506</v>
      </c>
      <c r="E171" s="26">
        <v>105.126</v>
      </c>
      <c r="F171" s="27">
        <v>-0.0013</v>
      </c>
    </row>
    <row r="172">
      <c r="A172" s="24">
        <v>45571.0</v>
      </c>
      <c r="B172" s="25">
        <v>104.926</v>
      </c>
      <c r="C172" s="26">
        <v>105.018</v>
      </c>
      <c r="D172" s="26">
        <v>105.018</v>
      </c>
      <c r="E172" s="26">
        <v>104.862</v>
      </c>
      <c r="F172" s="27">
        <v>-0.0019</v>
      </c>
    </row>
    <row r="173">
      <c r="A173" s="28">
        <v>45578.0</v>
      </c>
      <c r="B173" s="29">
        <v>105.589</v>
      </c>
      <c r="C173" s="26">
        <v>105.105</v>
      </c>
      <c r="D173" s="26">
        <v>105.589</v>
      </c>
      <c r="E173" s="26">
        <v>105.105</v>
      </c>
      <c r="F173" s="30">
        <v>0.0063</v>
      </c>
    </row>
    <row r="174">
      <c r="A174" s="28">
        <v>45585.0</v>
      </c>
      <c r="B174" s="25">
        <v>105.473</v>
      </c>
      <c r="C174" s="26">
        <v>105.668</v>
      </c>
      <c r="D174" s="26">
        <v>105.668</v>
      </c>
      <c r="E174" s="26">
        <v>105.208</v>
      </c>
      <c r="F174" s="27">
        <v>-0.0011</v>
      </c>
    </row>
    <row r="175">
      <c r="A175" s="28">
        <v>45592.0</v>
      </c>
      <c r="B175" s="25">
        <v>104.919</v>
      </c>
      <c r="C175" s="26">
        <v>105.322</v>
      </c>
      <c r="D175" s="26">
        <v>105.343</v>
      </c>
      <c r="E175" s="26">
        <v>104.919</v>
      </c>
      <c r="F175" s="27">
        <v>-0.0053</v>
      </c>
    </row>
    <row r="176">
      <c r="A176" s="24">
        <v>45599.0</v>
      </c>
      <c r="B176" s="25">
        <v>104.747</v>
      </c>
      <c r="C176" s="26">
        <v>104.932</v>
      </c>
      <c r="D176" s="26">
        <v>104.932</v>
      </c>
      <c r="E176" s="26">
        <v>104.747</v>
      </c>
      <c r="F176" s="27">
        <v>-0.0016</v>
      </c>
    </row>
    <row r="177">
      <c r="A177" s="28">
        <v>45606.0</v>
      </c>
      <c r="B177" s="29">
        <v>104.765</v>
      </c>
      <c r="C177" s="26">
        <v>104.779</v>
      </c>
      <c r="D177" s="26">
        <v>105.045</v>
      </c>
      <c r="E177" s="26">
        <v>104.558</v>
      </c>
      <c r="F177" s="30">
        <v>2.0E-4</v>
      </c>
    </row>
    <row r="178">
      <c r="A178" s="28">
        <v>45613.0</v>
      </c>
      <c r="B178" s="25">
        <v>104.632</v>
      </c>
      <c r="C178" s="26">
        <v>104.784</v>
      </c>
      <c r="D178" s="26">
        <v>104.784</v>
      </c>
      <c r="E178" s="26">
        <v>104.556</v>
      </c>
      <c r="F178" s="27">
        <v>-0.0013</v>
      </c>
    </row>
    <row r="179">
      <c r="A179" s="28">
        <v>45620.0</v>
      </c>
      <c r="B179" s="29">
        <v>104.993</v>
      </c>
      <c r="C179" s="26">
        <v>104.815</v>
      </c>
      <c r="D179" s="26">
        <v>105.005</v>
      </c>
      <c r="E179" s="26">
        <v>104.804</v>
      </c>
      <c r="F179" s="30">
        <v>0.0035</v>
      </c>
    </row>
    <row r="180">
      <c r="A180" s="24">
        <v>45627.0</v>
      </c>
      <c r="B180" s="29">
        <v>105.712</v>
      </c>
      <c r="C180" s="26">
        <v>105.104</v>
      </c>
      <c r="D180" s="26">
        <v>105.712</v>
      </c>
      <c r="E180" s="26">
        <v>105.104</v>
      </c>
      <c r="F180" s="30">
        <v>0.0068</v>
      </c>
    </row>
    <row r="181">
      <c r="A181" s="24">
        <v>45634.0</v>
      </c>
      <c r="B181" s="29">
        <v>105.895</v>
      </c>
      <c r="C181" s="26">
        <v>105.876</v>
      </c>
      <c r="D181" s="26">
        <v>106.0</v>
      </c>
      <c r="E181" s="26">
        <v>105.876</v>
      </c>
      <c r="F181" s="30">
        <v>0.0017</v>
      </c>
    </row>
    <row r="182">
      <c r="A182" s="28">
        <v>45641.0</v>
      </c>
      <c r="B182" s="25">
        <v>105.033</v>
      </c>
      <c r="C182" s="26">
        <v>105.829</v>
      </c>
      <c r="D182" s="26">
        <v>105.829</v>
      </c>
      <c r="E182" s="26">
        <v>105.033</v>
      </c>
      <c r="F182" s="27">
        <v>-0.0081</v>
      </c>
    </row>
    <row r="183">
      <c r="A183" s="28">
        <v>45648.0</v>
      </c>
      <c r="B183" s="25">
        <v>104.847</v>
      </c>
      <c r="C183" s="26">
        <v>104.659</v>
      </c>
      <c r="D183" s="26">
        <v>104.847</v>
      </c>
      <c r="E183" s="26">
        <v>104.659</v>
      </c>
      <c r="F183" s="27">
        <v>-0.0018</v>
      </c>
    </row>
    <row r="184">
      <c r="A184" s="28">
        <v>45655.0</v>
      </c>
      <c r="B184" s="29">
        <v>105.157</v>
      </c>
      <c r="C184" s="26">
        <v>104.922</v>
      </c>
      <c r="D184" s="26">
        <v>105.157</v>
      </c>
      <c r="E184" s="26">
        <v>104.922</v>
      </c>
      <c r="F184" s="30">
        <v>0.003</v>
      </c>
    </row>
    <row r="185">
      <c r="A185" s="33">
        <v>45662.0</v>
      </c>
      <c r="B185" s="34">
        <v>105.302</v>
      </c>
      <c r="C185" s="35">
        <v>105.277</v>
      </c>
      <c r="D185" s="35">
        <v>105.417</v>
      </c>
      <c r="E185" s="35">
        <v>105.277</v>
      </c>
      <c r="F185" s="36">
        <v>0.0014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>
        <v>44303.0</v>
      </c>
      <c r="B1" s="4">
        <v>75.81</v>
      </c>
      <c r="C1" s="4">
        <v>76.54</v>
      </c>
      <c r="D1" s="4">
        <v>76.55</v>
      </c>
      <c r="E1" s="4">
        <v>74.72</v>
      </c>
      <c r="F1" s="4" t="s">
        <v>12</v>
      </c>
      <c r="G1" s="17">
        <v>-0.0114</v>
      </c>
    </row>
    <row r="2">
      <c r="A2" s="12">
        <v>44310.0</v>
      </c>
      <c r="B2" s="4">
        <v>74.12</v>
      </c>
      <c r="C2" s="4">
        <v>75.81</v>
      </c>
      <c r="D2" s="4">
        <v>75.81</v>
      </c>
      <c r="E2" s="4">
        <v>74.12</v>
      </c>
      <c r="F2" s="15"/>
      <c r="G2" s="17">
        <v>-0.0223</v>
      </c>
    </row>
    <row r="3">
      <c r="A3" s="7">
        <v>44317.0</v>
      </c>
      <c r="B3" s="4">
        <v>75.82</v>
      </c>
      <c r="C3" s="4">
        <v>74.12</v>
      </c>
      <c r="D3" s="4">
        <v>75.82</v>
      </c>
      <c r="E3" s="4">
        <v>74.12</v>
      </c>
      <c r="F3" s="15"/>
      <c r="G3" s="16">
        <f>+2.29%</f>
        <v>0.0229</v>
      </c>
    </row>
    <row r="4">
      <c r="A4" s="7">
        <v>44324.0</v>
      </c>
      <c r="B4" s="4">
        <v>73.46</v>
      </c>
      <c r="C4" s="4">
        <v>74.27</v>
      </c>
      <c r="D4" s="4">
        <v>74.27</v>
      </c>
      <c r="E4" s="4">
        <v>73.03</v>
      </c>
      <c r="F4" s="4" t="s">
        <v>13</v>
      </c>
      <c r="G4" s="17">
        <v>-0.0312</v>
      </c>
    </row>
    <row r="5">
      <c r="A5" s="9">
        <v>44331.0</v>
      </c>
      <c r="B5" s="4">
        <v>74.46</v>
      </c>
      <c r="C5" s="4">
        <v>72.82</v>
      </c>
      <c r="D5" s="4">
        <v>74.29</v>
      </c>
      <c r="E5" s="4">
        <v>72.82</v>
      </c>
      <c r="F5" s="4" t="s">
        <v>14</v>
      </c>
      <c r="G5" s="16">
        <f>+1.36%</f>
        <v>0.0136</v>
      </c>
    </row>
    <row r="6">
      <c r="A6" s="9">
        <v>44338.0</v>
      </c>
      <c r="B6" s="4">
        <v>75.64</v>
      </c>
      <c r="C6" s="4">
        <v>75.01</v>
      </c>
      <c r="D6" s="4">
        <v>75.02</v>
      </c>
      <c r="E6" s="4">
        <v>75.01</v>
      </c>
      <c r="F6" s="4" t="s">
        <v>15</v>
      </c>
      <c r="G6" s="16">
        <f>+1.58%</f>
        <v>0.0158</v>
      </c>
    </row>
    <row r="7">
      <c r="A7" s="9">
        <v>44345.0</v>
      </c>
      <c r="B7" s="4">
        <v>76.43</v>
      </c>
      <c r="C7" s="4">
        <v>75.17</v>
      </c>
      <c r="D7" s="4">
        <v>75.77</v>
      </c>
      <c r="E7" s="4">
        <v>75.17</v>
      </c>
      <c r="F7" s="4" t="s">
        <v>16</v>
      </c>
      <c r="G7" s="16">
        <f>+1.04%</f>
        <v>0.0104</v>
      </c>
    </row>
    <row r="8">
      <c r="A8" s="11">
        <v>44352.0</v>
      </c>
      <c r="B8" s="4">
        <v>76.1</v>
      </c>
      <c r="C8" s="4">
        <v>76.54</v>
      </c>
      <c r="D8" s="4">
        <v>76.59</v>
      </c>
      <c r="E8" s="4">
        <v>76.03</v>
      </c>
      <c r="F8" s="4" t="s">
        <v>17</v>
      </c>
      <c r="G8" s="17">
        <v>-0.0043</v>
      </c>
    </row>
    <row r="9">
      <c r="A9" s="12">
        <v>44359.0</v>
      </c>
      <c r="B9" s="4">
        <v>74.47</v>
      </c>
      <c r="C9" s="4">
        <v>76.13</v>
      </c>
      <c r="D9" s="4">
        <v>76.62</v>
      </c>
      <c r="E9" s="4">
        <v>75.76</v>
      </c>
      <c r="F9" s="4" t="s">
        <v>18</v>
      </c>
      <c r="G9" s="17">
        <v>-0.0214</v>
      </c>
    </row>
    <row r="10">
      <c r="A10" s="12">
        <v>44366.0</v>
      </c>
      <c r="B10" s="4">
        <v>75.74</v>
      </c>
      <c r="C10" s="4">
        <v>74.05</v>
      </c>
      <c r="D10" s="4">
        <v>74.28</v>
      </c>
      <c r="E10" s="4">
        <v>74.05</v>
      </c>
      <c r="F10" s="4" t="s">
        <v>19</v>
      </c>
      <c r="G10" s="16">
        <f>+1.71%</f>
        <v>0.0171</v>
      </c>
    </row>
    <row r="11">
      <c r="A11" s="12">
        <v>44373.0</v>
      </c>
      <c r="B11" s="4">
        <v>74.88</v>
      </c>
      <c r="C11" s="4">
        <v>75.74</v>
      </c>
      <c r="D11" s="4">
        <v>75.74</v>
      </c>
      <c r="E11" s="4">
        <v>75.74</v>
      </c>
      <c r="F11" s="15"/>
      <c r="G11" s="17">
        <v>-0.0114</v>
      </c>
    </row>
    <row r="12">
      <c r="A12" s="11">
        <v>44380.0</v>
      </c>
      <c r="B12" s="4">
        <v>75.47</v>
      </c>
      <c r="C12" s="4">
        <v>74.88</v>
      </c>
      <c r="D12" s="4">
        <v>74.88</v>
      </c>
      <c r="E12" s="4">
        <v>74.88</v>
      </c>
      <c r="F12" s="15"/>
      <c r="G12" s="16">
        <f>+0.8%</f>
        <v>0.008</v>
      </c>
    </row>
    <row r="13">
      <c r="A13" s="12">
        <v>44387.0</v>
      </c>
      <c r="B13" s="4">
        <v>74.7</v>
      </c>
      <c r="C13" s="4">
        <v>75.77</v>
      </c>
      <c r="D13" s="4">
        <v>75.77</v>
      </c>
      <c r="E13" s="4">
        <v>75.76</v>
      </c>
      <c r="F13" s="4" t="s">
        <v>20</v>
      </c>
      <c r="G13" s="17">
        <v>-0.0103</v>
      </c>
    </row>
    <row r="14">
      <c r="A14" s="12">
        <v>44394.0</v>
      </c>
      <c r="B14" s="4">
        <v>75.14</v>
      </c>
      <c r="C14" s="4">
        <v>74.99</v>
      </c>
      <c r="D14" s="4">
        <v>75.02</v>
      </c>
      <c r="E14" s="4">
        <v>74.99</v>
      </c>
      <c r="F14" s="4" t="s">
        <v>21</v>
      </c>
      <c r="G14" s="16">
        <f>+0.6%</f>
        <v>0.006</v>
      </c>
    </row>
    <row r="15">
      <c r="A15" s="12">
        <v>44401.0</v>
      </c>
      <c r="B15" s="4">
        <v>74.44</v>
      </c>
      <c r="C15" s="4">
        <v>74.48</v>
      </c>
      <c r="D15" s="4">
        <v>75.14</v>
      </c>
      <c r="E15" s="4">
        <v>74.2</v>
      </c>
      <c r="F15" s="4" t="s">
        <v>22</v>
      </c>
      <c r="G15" s="17">
        <v>-0.0093</v>
      </c>
    </row>
    <row r="16">
      <c r="A16" s="12">
        <v>44408.0</v>
      </c>
      <c r="B16" s="4">
        <v>75.08</v>
      </c>
      <c r="C16" s="4">
        <v>75.08</v>
      </c>
      <c r="D16" s="4">
        <v>75.08</v>
      </c>
      <c r="E16" s="4">
        <v>75.08</v>
      </c>
      <c r="F16" s="4" t="s">
        <v>23</v>
      </c>
      <c r="G16" s="16">
        <f>+0.85%</f>
        <v>0.0085</v>
      </c>
    </row>
    <row r="17">
      <c r="A17" s="11">
        <v>44415.0</v>
      </c>
      <c r="B17" s="4">
        <v>76.02</v>
      </c>
      <c r="C17" s="4">
        <v>75.7</v>
      </c>
      <c r="D17" s="4">
        <v>75.7</v>
      </c>
      <c r="E17" s="4">
        <v>75.7</v>
      </c>
      <c r="F17" s="4" t="s">
        <v>24</v>
      </c>
      <c r="G17" s="16">
        <f>+1.25%</f>
        <v>0.0125</v>
      </c>
    </row>
    <row r="18">
      <c r="A18" s="12">
        <v>44422.0</v>
      </c>
      <c r="B18" s="4">
        <v>73.44</v>
      </c>
      <c r="C18" s="4">
        <v>73.42</v>
      </c>
      <c r="D18" s="4">
        <v>73.42</v>
      </c>
      <c r="E18" s="4">
        <v>73.42</v>
      </c>
      <c r="F18" s="4" t="s">
        <v>25</v>
      </c>
      <c r="G18" s="17">
        <v>-0.0339</v>
      </c>
    </row>
    <row r="19">
      <c r="A19" s="12">
        <v>44429.0</v>
      </c>
      <c r="B19" s="4">
        <v>75.28</v>
      </c>
      <c r="C19" s="4">
        <v>75.4</v>
      </c>
      <c r="D19" s="4">
        <v>75.4</v>
      </c>
      <c r="E19" s="4">
        <v>75.38</v>
      </c>
      <c r="F19" s="4" t="s">
        <v>26</v>
      </c>
      <c r="G19" s="16">
        <f>+2.51%</f>
        <v>0.0251</v>
      </c>
    </row>
    <row r="20">
      <c r="A20" s="12">
        <v>44436.0</v>
      </c>
      <c r="B20" s="4">
        <v>79.15</v>
      </c>
      <c r="C20" s="4">
        <v>76.83</v>
      </c>
      <c r="D20" s="4">
        <v>76.83</v>
      </c>
      <c r="E20" s="4">
        <v>76.83</v>
      </c>
      <c r="F20" s="4" t="s">
        <v>27</v>
      </c>
      <c r="G20" s="16">
        <f>+5.14%</f>
        <v>0.0514</v>
      </c>
    </row>
    <row r="21">
      <c r="A21" s="11">
        <v>44443.0</v>
      </c>
      <c r="B21" s="4">
        <v>81.07</v>
      </c>
      <c r="C21" s="4">
        <v>79.94</v>
      </c>
      <c r="D21" s="4">
        <v>81.4</v>
      </c>
      <c r="E21" s="4">
        <v>79.56</v>
      </c>
      <c r="F21" s="4" t="s">
        <v>28</v>
      </c>
      <c r="G21" s="16">
        <f>+2.42%</f>
        <v>0.0242</v>
      </c>
    </row>
    <row r="22">
      <c r="A22" s="12">
        <v>44450.0</v>
      </c>
      <c r="B22" s="4">
        <v>81.18</v>
      </c>
      <c r="C22" s="4">
        <v>81.62</v>
      </c>
      <c r="D22" s="4">
        <v>81.62</v>
      </c>
      <c r="E22" s="4">
        <v>81.06</v>
      </c>
      <c r="F22" s="4" t="s">
        <v>29</v>
      </c>
      <c r="G22" s="16">
        <f>+0.14%</f>
        <v>0.0014</v>
      </c>
    </row>
    <row r="23">
      <c r="A23" s="12">
        <v>44457.0</v>
      </c>
      <c r="B23" s="4">
        <v>80.35</v>
      </c>
      <c r="C23" s="4">
        <v>81.22</v>
      </c>
      <c r="D23" s="4">
        <v>81.22</v>
      </c>
      <c r="E23" s="4">
        <v>80.85</v>
      </c>
      <c r="F23" s="4" t="s">
        <v>30</v>
      </c>
      <c r="G23" s="17">
        <v>-0.0102</v>
      </c>
    </row>
    <row r="24">
      <c r="A24" s="12">
        <v>44464.0</v>
      </c>
      <c r="B24" s="4">
        <v>76.87</v>
      </c>
      <c r="C24" s="4">
        <v>79.02</v>
      </c>
      <c r="D24" s="4">
        <v>79.02</v>
      </c>
      <c r="E24" s="4">
        <v>78.68</v>
      </c>
      <c r="F24" s="4" t="s">
        <v>31</v>
      </c>
      <c r="G24" s="17">
        <v>-0.0433</v>
      </c>
    </row>
    <row r="25">
      <c r="A25" s="11">
        <v>44471.0</v>
      </c>
      <c r="B25" s="4">
        <v>75.32</v>
      </c>
      <c r="C25" s="4">
        <v>75.73</v>
      </c>
      <c r="D25" s="4">
        <v>75.73</v>
      </c>
      <c r="E25" s="4">
        <v>75.73</v>
      </c>
      <c r="F25" s="4" t="s">
        <v>30</v>
      </c>
      <c r="G25" s="17">
        <v>-0.0202</v>
      </c>
    </row>
    <row r="26">
      <c r="A26" s="11">
        <v>44478.0</v>
      </c>
      <c r="B26" s="4">
        <v>76.52</v>
      </c>
      <c r="C26" s="4">
        <v>76.03</v>
      </c>
      <c r="D26" s="4">
        <v>76.37</v>
      </c>
      <c r="E26" s="4">
        <v>76.0</v>
      </c>
      <c r="F26" s="4" t="s">
        <v>32</v>
      </c>
      <c r="G26" s="16">
        <f>+1.59%</f>
        <v>0.0159</v>
      </c>
    </row>
    <row r="27">
      <c r="A27" s="12">
        <v>44485.0</v>
      </c>
      <c r="B27" s="4">
        <v>75.81</v>
      </c>
      <c r="C27" s="4">
        <v>75.84</v>
      </c>
      <c r="D27" s="4">
        <v>75.99</v>
      </c>
      <c r="E27" s="4">
        <v>75.84</v>
      </c>
      <c r="F27" s="4" t="s">
        <v>31</v>
      </c>
      <c r="G27" s="17">
        <v>-0.0093</v>
      </c>
    </row>
    <row r="28">
      <c r="A28" s="12">
        <v>44492.0</v>
      </c>
      <c r="B28" s="4">
        <v>75.6</v>
      </c>
      <c r="C28" s="4">
        <v>75.83</v>
      </c>
      <c r="D28" s="4">
        <v>75.83</v>
      </c>
      <c r="E28" s="4">
        <v>75.83</v>
      </c>
      <c r="F28" s="4" t="s">
        <v>33</v>
      </c>
      <c r="G28" s="17">
        <v>-0.0028</v>
      </c>
    </row>
    <row r="29">
      <c r="A29" s="12">
        <v>44499.0</v>
      </c>
      <c r="B29" s="4">
        <v>77.81</v>
      </c>
      <c r="C29" s="4">
        <v>75.59</v>
      </c>
      <c r="D29" s="4">
        <v>77.81</v>
      </c>
      <c r="E29" s="4">
        <v>75.59</v>
      </c>
      <c r="F29" s="15"/>
      <c r="G29" s="16">
        <f>+2.93%</f>
        <v>0.0293</v>
      </c>
    </row>
    <row r="30">
      <c r="A30" s="11">
        <v>44506.0</v>
      </c>
      <c r="B30" s="4">
        <v>77.44</v>
      </c>
      <c r="C30" s="4">
        <v>77.49</v>
      </c>
      <c r="D30" s="4">
        <v>77.49</v>
      </c>
      <c r="E30" s="4">
        <v>76.68</v>
      </c>
      <c r="F30" s="4" t="s">
        <v>34</v>
      </c>
      <c r="G30" s="17">
        <v>-0.0047</v>
      </c>
    </row>
    <row r="31">
      <c r="A31" s="12">
        <v>44513.0</v>
      </c>
      <c r="B31" s="4">
        <v>77.5</v>
      </c>
      <c r="C31" s="4">
        <v>77.44</v>
      </c>
      <c r="D31" s="4">
        <v>77.44</v>
      </c>
      <c r="E31" s="4">
        <v>77.44</v>
      </c>
      <c r="F31" s="15"/>
      <c r="G31" s="16">
        <f>+0.07%</f>
        <v>0.0007</v>
      </c>
    </row>
    <row r="32">
      <c r="A32" s="12">
        <v>44520.0</v>
      </c>
      <c r="B32" s="4">
        <v>74.09</v>
      </c>
      <c r="C32" s="4">
        <v>77.36</v>
      </c>
      <c r="D32" s="4">
        <v>77.36</v>
      </c>
      <c r="E32" s="4">
        <v>77.36</v>
      </c>
      <c r="F32" s="15"/>
      <c r="G32" s="17">
        <v>-0.044</v>
      </c>
    </row>
    <row r="33">
      <c r="A33" s="12">
        <v>44527.0</v>
      </c>
      <c r="B33" s="4">
        <v>74.27</v>
      </c>
      <c r="C33" s="4">
        <v>72.76</v>
      </c>
      <c r="D33" s="4">
        <v>74.6</v>
      </c>
      <c r="E33" s="4">
        <v>72.76</v>
      </c>
      <c r="F33" s="4" t="s">
        <v>35</v>
      </c>
      <c r="G33" s="16">
        <f>+0.24%</f>
        <v>0.0024</v>
      </c>
    </row>
    <row r="34">
      <c r="A34" s="11">
        <v>44534.0</v>
      </c>
      <c r="B34" s="4">
        <v>75.72</v>
      </c>
      <c r="C34" s="4">
        <v>74.27</v>
      </c>
      <c r="D34" s="4">
        <v>74.27</v>
      </c>
      <c r="E34" s="4">
        <v>74.27</v>
      </c>
      <c r="F34" s="15"/>
      <c r="G34" s="16">
        <f>+1.96%</f>
        <v>0.0196</v>
      </c>
    </row>
    <row r="35">
      <c r="A35" s="12">
        <v>44541.0</v>
      </c>
      <c r="B35" s="4">
        <v>75.86</v>
      </c>
      <c r="C35" s="4">
        <v>75.72</v>
      </c>
      <c r="D35" s="4">
        <v>75.72</v>
      </c>
      <c r="E35" s="4">
        <v>75.72</v>
      </c>
      <c r="F35" s="15"/>
      <c r="G35" s="16">
        <f>+0.18%</f>
        <v>0.0018</v>
      </c>
    </row>
    <row r="36">
      <c r="A36" s="12">
        <v>44548.0</v>
      </c>
      <c r="B36" s="4">
        <v>75.29</v>
      </c>
      <c r="C36" s="4">
        <v>75.86</v>
      </c>
      <c r="D36" s="4">
        <v>75.86</v>
      </c>
      <c r="E36" s="4">
        <v>75.86</v>
      </c>
      <c r="F36" s="15"/>
      <c r="G36" s="17">
        <v>-0.0075</v>
      </c>
    </row>
    <row r="37">
      <c r="A37" s="12">
        <v>44555.0</v>
      </c>
      <c r="B37" s="4">
        <v>74.9</v>
      </c>
      <c r="C37" s="4">
        <v>75.26</v>
      </c>
      <c r="D37" s="4">
        <v>75.26</v>
      </c>
      <c r="E37" s="4">
        <v>75.26</v>
      </c>
      <c r="F37" s="4" t="s">
        <v>30</v>
      </c>
      <c r="G37" s="17">
        <v>-0.0052</v>
      </c>
    </row>
    <row r="38">
      <c r="A38" s="11">
        <v>44562.0</v>
      </c>
      <c r="B38" s="4">
        <v>74.54</v>
      </c>
      <c r="C38" s="4">
        <v>75.37</v>
      </c>
      <c r="D38" s="4">
        <v>75.37</v>
      </c>
      <c r="E38" s="4">
        <v>75.37</v>
      </c>
      <c r="F38" s="4" t="s">
        <v>30</v>
      </c>
      <c r="G38" s="17">
        <v>-0.0049</v>
      </c>
    </row>
    <row r="39">
      <c r="A39" s="11">
        <v>44569.0</v>
      </c>
      <c r="B39" s="4">
        <v>75.24</v>
      </c>
      <c r="C39" s="4">
        <v>74.53</v>
      </c>
      <c r="D39" s="4">
        <v>75.23</v>
      </c>
      <c r="E39" s="4">
        <v>74.53</v>
      </c>
      <c r="F39" s="15"/>
      <c r="G39" s="16">
        <f>+0.94%</f>
        <v>0.0094</v>
      </c>
    </row>
    <row r="40">
      <c r="A40" s="12">
        <v>44576.0</v>
      </c>
      <c r="B40" s="4">
        <v>73.45</v>
      </c>
      <c r="C40" s="4">
        <v>73.4</v>
      </c>
      <c r="D40" s="4">
        <v>73.4</v>
      </c>
      <c r="E40" s="4">
        <v>73.4</v>
      </c>
      <c r="F40" s="4" t="s">
        <v>31</v>
      </c>
      <c r="G40" s="17">
        <v>-0.0237</v>
      </c>
    </row>
    <row r="41">
      <c r="A41" s="12">
        <v>44583.0</v>
      </c>
      <c r="B41" s="4">
        <v>70.0</v>
      </c>
      <c r="C41" s="4">
        <v>71.87</v>
      </c>
      <c r="D41" s="4">
        <v>72.34</v>
      </c>
      <c r="E41" s="4">
        <v>69.61</v>
      </c>
      <c r="F41" s="4" t="s">
        <v>36</v>
      </c>
      <c r="G41" s="17">
        <v>-0.047</v>
      </c>
    </row>
    <row r="42">
      <c r="A42" s="12">
        <v>44590.0</v>
      </c>
      <c r="B42" s="4">
        <v>71.75</v>
      </c>
      <c r="C42" s="4">
        <v>70.0</v>
      </c>
      <c r="D42" s="4">
        <v>70.0</v>
      </c>
      <c r="E42" s="4">
        <v>70.0</v>
      </c>
      <c r="F42" s="15"/>
      <c r="G42" s="16">
        <f>+2.5%</f>
        <v>0.025</v>
      </c>
    </row>
    <row r="43">
      <c r="A43" s="11">
        <v>44597.0</v>
      </c>
      <c r="B43" s="4">
        <v>72.34</v>
      </c>
      <c r="C43" s="4">
        <v>72.43</v>
      </c>
      <c r="D43" s="4">
        <v>73.47</v>
      </c>
      <c r="E43" s="4">
        <v>72.33</v>
      </c>
      <c r="F43" s="4" t="s">
        <v>37</v>
      </c>
      <c r="G43" s="16">
        <f>+0.82%</f>
        <v>0.0082</v>
      </c>
    </row>
    <row r="44">
      <c r="A44" s="12">
        <v>44604.0</v>
      </c>
      <c r="B44" s="4">
        <v>71.44</v>
      </c>
      <c r="C44" s="4">
        <v>72.05</v>
      </c>
      <c r="D44" s="4">
        <v>72.05</v>
      </c>
      <c r="E44" s="4">
        <v>71.25</v>
      </c>
      <c r="F44" s="4" t="s">
        <v>38</v>
      </c>
      <c r="G44" s="17">
        <v>-0.0124</v>
      </c>
    </row>
    <row r="45">
      <c r="A45" s="12">
        <v>44611.0</v>
      </c>
      <c r="B45" s="4">
        <v>70.89</v>
      </c>
      <c r="C45" s="4">
        <v>71.44</v>
      </c>
      <c r="D45" s="4">
        <v>71.44</v>
      </c>
      <c r="E45" s="4">
        <v>71.44</v>
      </c>
      <c r="F45" s="15"/>
      <c r="G45" s="17">
        <v>-0.0077</v>
      </c>
    </row>
    <row r="46">
      <c r="A46" s="12">
        <v>44618.0</v>
      </c>
      <c r="B46" s="4">
        <v>68.54</v>
      </c>
      <c r="C46" s="4">
        <v>70.89</v>
      </c>
      <c r="D46" s="4">
        <v>70.89</v>
      </c>
      <c r="E46" s="4">
        <v>68.53</v>
      </c>
      <c r="F46" s="15"/>
      <c r="G46" s="17">
        <v>-0.0332</v>
      </c>
    </row>
    <row r="47">
      <c r="A47" s="11">
        <v>44625.0</v>
      </c>
      <c r="B47" s="4">
        <v>66.21</v>
      </c>
      <c r="C47" s="4">
        <v>66.27</v>
      </c>
      <c r="D47" s="4">
        <v>66.27</v>
      </c>
      <c r="E47" s="4">
        <v>66.27</v>
      </c>
      <c r="F47" s="4" t="s">
        <v>30</v>
      </c>
      <c r="G47" s="17">
        <v>-0.0339</v>
      </c>
    </row>
    <row r="48">
      <c r="A48" s="12">
        <v>44632.0</v>
      </c>
      <c r="B48" s="4">
        <v>69.75</v>
      </c>
      <c r="C48" s="4">
        <v>66.06</v>
      </c>
      <c r="D48" s="4">
        <v>68.88</v>
      </c>
      <c r="E48" s="4">
        <v>66.06</v>
      </c>
      <c r="F48" s="4" t="s">
        <v>39</v>
      </c>
      <c r="G48" s="16">
        <f>+5.34%</f>
        <v>0.0534</v>
      </c>
    </row>
    <row r="49">
      <c r="A49" s="12">
        <v>44639.0</v>
      </c>
      <c r="B49" s="4">
        <v>70.25</v>
      </c>
      <c r="C49" s="4">
        <v>70.49</v>
      </c>
      <c r="D49" s="4">
        <v>70.49</v>
      </c>
      <c r="E49" s="4">
        <v>70.21</v>
      </c>
      <c r="F49" s="4" t="s">
        <v>40</v>
      </c>
      <c r="G49" s="16">
        <f>+0.73%</f>
        <v>0.0073</v>
      </c>
    </row>
    <row r="50">
      <c r="A50" s="12">
        <v>44646.0</v>
      </c>
      <c r="B50" s="4">
        <v>69.29</v>
      </c>
      <c r="C50" s="4">
        <v>69.0</v>
      </c>
      <c r="D50" s="4">
        <v>69.97</v>
      </c>
      <c r="E50" s="4">
        <v>69.0</v>
      </c>
      <c r="F50" s="4" t="s">
        <v>41</v>
      </c>
      <c r="G50" s="17">
        <v>-0.0137</v>
      </c>
    </row>
    <row r="51">
      <c r="A51" s="11">
        <v>44653.0</v>
      </c>
      <c r="B51" s="4">
        <v>66.86</v>
      </c>
      <c r="C51" s="4">
        <v>66.9</v>
      </c>
      <c r="D51" s="4">
        <v>66.9</v>
      </c>
      <c r="E51" s="4">
        <v>66.77</v>
      </c>
      <c r="F51" s="4" t="s">
        <v>42</v>
      </c>
      <c r="G51" s="17">
        <v>-0.0351</v>
      </c>
    </row>
    <row r="52">
      <c r="A52" s="11">
        <v>44660.0</v>
      </c>
      <c r="B52" s="4">
        <v>65.9</v>
      </c>
      <c r="C52" s="4">
        <v>64.74</v>
      </c>
      <c r="D52" s="4">
        <v>65.92</v>
      </c>
      <c r="E52" s="4">
        <v>64.74</v>
      </c>
      <c r="F52" s="4" t="s">
        <v>24</v>
      </c>
      <c r="G52" s="17">
        <v>-0.0143</v>
      </c>
    </row>
    <row r="53">
      <c r="A53" s="12">
        <v>44667.0</v>
      </c>
      <c r="B53" s="4">
        <v>64.33</v>
      </c>
      <c r="C53" s="4">
        <v>65.9</v>
      </c>
      <c r="D53" s="4">
        <v>65.9</v>
      </c>
      <c r="E53" s="4">
        <v>65.9</v>
      </c>
      <c r="F53" s="4" t="s">
        <v>30</v>
      </c>
      <c r="G53" s="17">
        <v>-0.0238</v>
      </c>
    </row>
    <row r="54">
      <c r="A54" s="12">
        <v>44674.0</v>
      </c>
      <c r="B54" s="4">
        <v>64.54</v>
      </c>
      <c r="C54" s="4">
        <v>63.72</v>
      </c>
      <c r="D54" s="4">
        <v>63.72</v>
      </c>
      <c r="E54" s="4">
        <v>63.72</v>
      </c>
      <c r="F54" s="4" t="s">
        <v>43</v>
      </c>
      <c r="G54" s="16">
        <f>+0.33%</f>
        <v>0.0033</v>
      </c>
    </row>
    <row r="55">
      <c r="A55" s="12">
        <v>44681.0</v>
      </c>
      <c r="B55" s="4">
        <v>63.75</v>
      </c>
      <c r="C55" s="4">
        <v>63.75</v>
      </c>
      <c r="D55" s="4">
        <v>63.75</v>
      </c>
      <c r="E55" s="4">
        <v>63.75</v>
      </c>
      <c r="F55" s="15"/>
      <c r="G55" s="17">
        <v>-0.0123</v>
      </c>
    </row>
    <row r="56">
      <c r="A56" s="7">
        <v>44688.0</v>
      </c>
      <c r="B56" s="4">
        <v>63.11</v>
      </c>
      <c r="C56" s="4">
        <v>63.11</v>
      </c>
      <c r="D56" s="4">
        <v>63.11</v>
      </c>
      <c r="E56" s="4">
        <v>63.11</v>
      </c>
      <c r="F56" s="15"/>
      <c r="G56" s="17">
        <v>-0.01</v>
      </c>
    </row>
    <row r="57">
      <c r="A57" s="9">
        <v>44695.0</v>
      </c>
      <c r="B57" s="4">
        <v>63.83</v>
      </c>
      <c r="C57" s="4">
        <v>63.83</v>
      </c>
      <c r="D57" s="4">
        <v>63.83</v>
      </c>
      <c r="E57" s="4">
        <v>63.83</v>
      </c>
      <c r="F57" s="15"/>
      <c r="G57" s="16">
        <f>+1.13%</f>
        <v>0.0113</v>
      </c>
    </row>
    <row r="58">
      <c r="A58" s="9">
        <v>44702.0</v>
      </c>
      <c r="B58" s="4">
        <v>65.32</v>
      </c>
      <c r="C58" s="4">
        <v>64.7</v>
      </c>
      <c r="D58" s="4">
        <v>65.33</v>
      </c>
      <c r="E58" s="4">
        <v>64.7</v>
      </c>
      <c r="F58" s="15"/>
      <c r="G58" s="16">
        <f>+2.35%</f>
        <v>0.0235</v>
      </c>
    </row>
    <row r="59">
      <c r="A59" s="9">
        <v>44709.0</v>
      </c>
      <c r="B59" s="4">
        <v>64.72</v>
      </c>
      <c r="C59" s="4">
        <v>65.33</v>
      </c>
      <c r="D59" s="4">
        <v>65.33</v>
      </c>
      <c r="E59" s="4">
        <v>65.33</v>
      </c>
      <c r="F59" s="15"/>
      <c r="G59" s="17">
        <v>-0.0092</v>
      </c>
    </row>
    <row r="60">
      <c r="A60" s="11">
        <v>44716.0</v>
      </c>
      <c r="B60" s="4">
        <v>62.12</v>
      </c>
      <c r="C60" s="4">
        <v>64.35</v>
      </c>
      <c r="D60" s="4">
        <v>64.35</v>
      </c>
      <c r="E60" s="4">
        <v>62.15</v>
      </c>
      <c r="F60" s="4" t="s">
        <v>44</v>
      </c>
      <c r="G60" s="17">
        <v>-0.0402</v>
      </c>
    </row>
    <row r="61">
      <c r="A61" s="12">
        <v>44723.0</v>
      </c>
      <c r="B61" s="4">
        <v>58.97</v>
      </c>
      <c r="C61" s="4">
        <v>60.44</v>
      </c>
      <c r="D61" s="4">
        <v>60.44</v>
      </c>
      <c r="E61" s="4">
        <v>59.26</v>
      </c>
      <c r="F61" s="4" t="s">
        <v>45</v>
      </c>
      <c r="G61" s="17">
        <v>-0.0507</v>
      </c>
    </row>
    <row r="62">
      <c r="A62" s="12">
        <v>44730.0</v>
      </c>
      <c r="B62" s="4">
        <v>60.58</v>
      </c>
      <c r="C62" s="4">
        <v>58.94</v>
      </c>
      <c r="D62" s="4">
        <v>59.75</v>
      </c>
      <c r="E62" s="4">
        <v>58.94</v>
      </c>
      <c r="F62" s="4" t="s">
        <v>46</v>
      </c>
      <c r="G62" s="16">
        <f>+2.73%</f>
        <v>0.0273</v>
      </c>
    </row>
    <row r="63">
      <c r="A63" s="12">
        <v>44737.0</v>
      </c>
      <c r="B63" s="4">
        <v>59.56</v>
      </c>
      <c r="C63" s="4">
        <v>60.58</v>
      </c>
      <c r="D63" s="4">
        <v>60.58</v>
      </c>
      <c r="E63" s="4">
        <v>60.58</v>
      </c>
      <c r="F63" s="15"/>
      <c r="G63" s="17">
        <v>-0.0168</v>
      </c>
    </row>
    <row r="64">
      <c r="A64" s="11">
        <v>44744.0</v>
      </c>
      <c r="B64" s="4">
        <v>60.96</v>
      </c>
      <c r="C64" s="4">
        <v>59.09</v>
      </c>
      <c r="D64" s="4">
        <v>60.89</v>
      </c>
      <c r="E64" s="4">
        <v>59.09</v>
      </c>
      <c r="F64" s="4" t="s">
        <v>46</v>
      </c>
      <c r="G64" s="16">
        <f>+2.34%</f>
        <v>0.0234</v>
      </c>
    </row>
    <row r="65">
      <c r="A65" s="11">
        <v>44751.0</v>
      </c>
      <c r="B65" s="4">
        <v>59.78</v>
      </c>
      <c r="C65" s="4">
        <v>59.36</v>
      </c>
      <c r="D65" s="4">
        <v>59.36</v>
      </c>
      <c r="E65" s="4">
        <v>59.36</v>
      </c>
      <c r="F65" s="4" t="s">
        <v>46</v>
      </c>
      <c r="G65" s="17">
        <v>-0.0194</v>
      </c>
    </row>
    <row r="66">
      <c r="A66" s="12">
        <v>44758.0</v>
      </c>
      <c r="B66" s="4">
        <v>62.17</v>
      </c>
      <c r="C66" s="4">
        <v>60.27</v>
      </c>
      <c r="D66" s="4">
        <v>60.27</v>
      </c>
      <c r="E66" s="4">
        <v>60.19</v>
      </c>
      <c r="F66" s="4" t="s">
        <v>46</v>
      </c>
      <c r="G66" s="16">
        <f>+4.02%</f>
        <v>0.0402</v>
      </c>
    </row>
    <row r="67">
      <c r="A67" s="12">
        <v>44765.0</v>
      </c>
      <c r="B67" s="4">
        <v>63.28</v>
      </c>
      <c r="C67" s="4">
        <v>62.17</v>
      </c>
      <c r="D67" s="4">
        <v>63.28</v>
      </c>
      <c r="E67" s="4">
        <v>62.17</v>
      </c>
      <c r="F67" s="15"/>
      <c r="G67" s="16">
        <f>+1.78%</f>
        <v>0.0178</v>
      </c>
    </row>
    <row r="68">
      <c r="A68" s="12">
        <v>44772.0</v>
      </c>
      <c r="B68" s="4">
        <v>62.38</v>
      </c>
      <c r="C68" s="4">
        <v>63.28</v>
      </c>
      <c r="D68" s="4">
        <v>63.28</v>
      </c>
      <c r="E68" s="4">
        <v>63.28</v>
      </c>
      <c r="F68" s="15"/>
      <c r="G68" s="17">
        <v>-0.0142</v>
      </c>
    </row>
    <row r="69">
      <c r="A69" s="11">
        <v>44779.0</v>
      </c>
      <c r="B69" s="4">
        <v>63.97</v>
      </c>
      <c r="C69" s="4">
        <v>62.38</v>
      </c>
      <c r="D69" s="4">
        <v>63.98</v>
      </c>
      <c r="E69" s="4">
        <v>62.38</v>
      </c>
      <c r="F69" s="15"/>
      <c r="G69" s="16">
        <f>+2.56%</f>
        <v>0.0256</v>
      </c>
    </row>
    <row r="70">
      <c r="A70" s="12">
        <v>44786.0</v>
      </c>
      <c r="B70" s="4">
        <v>63.04</v>
      </c>
      <c r="C70" s="4">
        <v>64.24</v>
      </c>
      <c r="D70" s="4">
        <v>64.24</v>
      </c>
      <c r="E70" s="4">
        <v>64.24</v>
      </c>
      <c r="F70" s="4" t="s">
        <v>47</v>
      </c>
      <c r="G70" s="17">
        <v>-0.0145</v>
      </c>
    </row>
    <row r="71">
      <c r="A71" s="12">
        <v>44793.0</v>
      </c>
      <c r="B71" s="4">
        <v>62.22</v>
      </c>
      <c r="C71" s="4">
        <v>63.05</v>
      </c>
      <c r="D71" s="4">
        <v>63.05</v>
      </c>
      <c r="E71" s="4">
        <v>62.22</v>
      </c>
      <c r="F71" s="15"/>
      <c r="G71" s="17">
        <v>-0.0132</v>
      </c>
    </row>
    <row r="72">
      <c r="A72" s="12">
        <v>44800.0</v>
      </c>
      <c r="B72" s="4">
        <v>60.22</v>
      </c>
      <c r="C72" s="4">
        <v>61.24</v>
      </c>
      <c r="D72" s="4">
        <v>61.24</v>
      </c>
      <c r="E72" s="4">
        <v>60.14</v>
      </c>
      <c r="F72" s="4" t="s">
        <v>37</v>
      </c>
      <c r="G72" s="17">
        <v>-0.032</v>
      </c>
    </row>
    <row r="73">
      <c r="A73" s="11">
        <v>44807.0</v>
      </c>
      <c r="B73" s="4">
        <v>60.05</v>
      </c>
      <c r="C73" s="4">
        <v>58.86</v>
      </c>
      <c r="D73" s="4">
        <v>58.86</v>
      </c>
      <c r="E73" s="4">
        <v>58.86</v>
      </c>
      <c r="F73" s="4" t="s">
        <v>40</v>
      </c>
      <c r="G73" s="17">
        <v>-0.0029</v>
      </c>
    </row>
    <row r="74">
      <c r="A74" s="12">
        <v>44814.0</v>
      </c>
      <c r="B74" s="4">
        <v>58.53</v>
      </c>
      <c r="C74" s="4">
        <v>60.41</v>
      </c>
      <c r="D74" s="4">
        <v>60.41</v>
      </c>
      <c r="E74" s="4">
        <v>58.82</v>
      </c>
      <c r="F74" s="4" t="s">
        <v>30</v>
      </c>
      <c r="G74" s="17">
        <v>-0.0252</v>
      </c>
    </row>
    <row r="75">
      <c r="A75" s="12">
        <v>44821.0</v>
      </c>
      <c r="B75" s="4">
        <v>56.78</v>
      </c>
      <c r="C75" s="4">
        <v>58.53</v>
      </c>
      <c r="D75" s="4">
        <v>58.53</v>
      </c>
      <c r="E75" s="4">
        <v>56.77</v>
      </c>
      <c r="F75" s="15"/>
      <c r="G75" s="17">
        <v>-0.0301</v>
      </c>
    </row>
    <row r="76">
      <c r="A76" s="12">
        <v>44828.0</v>
      </c>
      <c r="B76" s="4">
        <v>55.81</v>
      </c>
      <c r="C76" s="4">
        <v>56.77</v>
      </c>
      <c r="D76" s="4">
        <v>56.77</v>
      </c>
      <c r="E76" s="4">
        <v>55.8</v>
      </c>
      <c r="F76" s="15"/>
      <c r="G76" s="17">
        <v>-0.0171</v>
      </c>
    </row>
    <row r="77">
      <c r="A77" s="11">
        <v>44835.0</v>
      </c>
      <c r="B77" s="4">
        <v>56.79</v>
      </c>
      <c r="C77" s="4">
        <v>57.93</v>
      </c>
      <c r="D77" s="4">
        <v>57.93</v>
      </c>
      <c r="E77" s="4">
        <v>57.5</v>
      </c>
      <c r="F77" s="4" t="s">
        <v>48</v>
      </c>
      <c r="G77" s="16">
        <f>+1.77%</f>
        <v>0.0177</v>
      </c>
    </row>
    <row r="78">
      <c r="A78" s="11">
        <v>44842.0</v>
      </c>
      <c r="B78" s="4">
        <v>55.32</v>
      </c>
      <c r="C78" s="4">
        <v>55.13</v>
      </c>
      <c r="D78" s="4">
        <v>55.98</v>
      </c>
      <c r="E78" s="4">
        <v>55.13</v>
      </c>
      <c r="F78" s="4" t="s">
        <v>49</v>
      </c>
      <c r="G78" s="17">
        <v>-0.0259</v>
      </c>
    </row>
    <row r="79">
      <c r="A79" s="12">
        <v>44849.0</v>
      </c>
      <c r="B79" s="4">
        <v>55.31</v>
      </c>
      <c r="C79" s="4">
        <v>55.46</v>
      </c>
      <c r="D79" s="4">
        <v>55.93</v>
      </c>
      <c r="E79" s="4">
        <v>55.46</v>
      </c>
      <c r="F79" s="4" t="s">
        <v>24</v>
      </c>
      <c r="G79" s="17">
        <v>-2.0E-4</v>
      </c>
    </row>
    <row r="80">
      <c r="A80" s="12">
        <v>44856.0</v>
      </c>
      <c r="B80" s="4">
        <v>56.69</v>
      </c>
      <c r="C80" s="4">
        <v>55.49</v>
      </c>
      <c r="D80" s="4">
        <v>55.49</v>
      </c>
      <c r="E80" s="4">
        <v>55.49</v>
      </c>
      <c r="F80" s="4" t="s">
        <v>31</v>
      </c>
      <c r="G80" s="16">
        <f>+2.5%</f>
        <v>0.025</v>
      </c>
    </row>
    <row r="81">
      <c r="A81" s="12">
        <v>44863.0</v>
      </c>
      <c r="B81" s="4">
        <v>57.34</v>
      </c>
      <c r="C81" s="4">
        <v>57.1</v>
      </c>
      <c r="D81" s="4">
        <v>57.53</v>
      </c>
      <c r="E81" s="4">
        <v>57.1</v>
      </c>
      <c r="F81" s="4" t="s">
        <v>24</v>
      </c>
      <c r="G81" s="16">
        <f>+1.14%</f>
        <v>0.0114</v>
      </c>
    </row>
    <row r="82">
      <c r="A82" s="11">
        <v>44870.0</v>
      </c>
      <c r="B82" s="4">
        <v>61.94</v>
      </c>
      <c r="C82" s="4">
        <v>57.34</v>
      </c>
      <c r="D82" s="4">
        <v>61.94</v>
      </c>
      <c r="E82" s="4">
        <v>57.34</v>
      </c>
      <c r="F82" s="15"/>
      <c r="G82" s="16">
        <f>+8.01%</f>
        <v>0.0801</v>
      </c>
    </row>
    <row r="83">
      <c r="A83" s="12">
        <v>44877.0</v>
      </c>
      <c r="B83" s="4">
        <v>61.68</v>
      </c>
      <c r="C83" s="4">
        <v>61.94</v>
      </c>
      <c r="D83" s="4">
        <v>61.94</v>
      </c>
      <c r="E83" s="4">
        <v>61.94</v>
      </c>
      <c r="F83" s="15"/>
      <c r="G83" s="17">
        <v>-0.0041</v>
      </c>
    </row>
    <row r="84">
      <c r="A84" s="12">
        <v>44884.0</v>
      </c>
      <c r="B84" s="4">
        <v>63.5</v>
      </c>
      <c r="C84" s="4">
        <v>62.4</v>
      </c>
      <c r="D84" s="4">
        <v>62.4</v>
      </c>
      <c r="E84" s="4">
        <v>62.4</v>
      </c>
      <c r="F84" s="4" t="s">
        <v>50</v>
      </c>
      <c r="G84" s="16">
        <f>+2.95%</f>
        <v>0.0295</v>
      </c>
    </row>
    <row r="85">
      <c r="A85" s="12">
        <v>44891.0</v>
      </c>
      <c r="B85" s="4">
        <v>63.21</v>
      </c>
      <c r="C85" s="4">
        <v>63.35</v>
      </c>
      <c r="D85" s="4">
        <v>63.35</v>
      </c>
      <c r="E85" s="4">
        <v>62.85</v>
      </c>
      <c r="F85" s="4" t="s">
        <v>41</v>
      </c>
      <c r="G85" s="17">
        <v>-0.0046</v>
      </c>
    </row>
    <row r="86">
      <c r="A86" s="11">
        <v>44898.0</v>
      </c>
      <c r="B86" s="4">
        <v>63.1</v>
      </c>
      <c r="C86" s="4">
        <v>62.21</v>
      </c>
      <c r="D86" s="4">
        <v>62.32</v>
      </c>
      <c r="E86" s="4">
        <v>62.21</v>
      </c>
      <c r="F86" s="4" t="s">
        <v>36</v>
      </c>
      <c r="G86" s="17">
        <v>-0.0017</v>
      </c>
    </row>
    <row r="87">
      <c r="A87" s="12">
        <v>44905.0</v>
      </c>
      <c r="B87" s="4">
        <v>61.83</v>
      </c>
      <c r="C87" s="4">
        <v>63.92</v>
      </c>
      <c r="D87" s="4">
        <v>64.04</v>
      </c>
      <c r="E87" s="4">
        <v>63.92</v>
      </c>
      <c r="F87" s="4" t="s">
        <v>49</v>
      </c>
      <c r="G87" s="17">
        <v>-0.02</v>
      </c>
    </row>
    <row r="88">
      <c r="A88" s="12">
        <v>44912.0</v>
      </c>
      <c r="B88" s="4">
        <v>62.29</v>
      </c>
      <c r="C88" s="4">
        <v>61.84</v>
      </c>
      <c r="D88" s="4">
        <v>62.3</v>
      </c>
      <c r="E88" s="4">
        <v>61.84</v>
      </c>
      <c r="F88" s="15"/>
      <c r="G88" s="16">
        <f>+0.74%</f>
        <v>0.0074</v>
      </c>
    </row>
    <row r="89">
      <c r="A89" s="12">
        <v>44919.0</v>
      </c>
      <c r="B89" s="4">
        <v>62.08</v>
      </c>
      <c r="C89" s="4">
        <v>62.3</v>
      </c>
      <c r="D89" s="4">
        <v>62.3</v>
      </c>
      <c r="E89" s="4">
        <v>62.3</v>
      </c>
      <c r="F89" s="15"/>
      <c r="G89" s="17">
        <v>-0.0035</v>
      </c>
    </row>
    <row r="90">
      <c r="A90" s="12">
        <v>44926.0</v>
      </c>
      <c r="B90" s="4">
        <v>61.85</v>
      </c>
      <c r="C90" s="4">
        <v>60.82</v>
      </c>
      <c r="D90" s="4">
        <v>60.82</v>
      </c>
      <c r="E90" s="4">
        <v>60.82</v>
      </c>
      <c r="F90" s="4" t="s">
        <v>39</v>
      </c>
      <c r="G90" s="17">
        <v>-0.0036</v>
      </c>
    </row>
    <row r="91">
      <c r="A91" s="11">
        <v>44933.0</v>
      </c>
      <c r="B91" s="4">
        <v>64.44</v>
      </c>
      <c r="C91" s="4">
        <v>62.0</v>
      </c>
      <c r="D91" s="4">
        <v>64.2</v>
      </c>
      <c r="E91" s="4">
        <v>62.0</v>
      </c>
      <c r="F91" s="4" t="s">
        <v>35</v>
      </c>
      <c r="G91" s="16">
        <f>+4.18%</f>
        <v>0.0418</v>
      </c>
    </row>
    <row r="92">
      <c r="A92" s="12">
        <v>44940.0</v>
      </c>
      <c r="B92" s="4">
        <v>65.51</v>
      </c>
      <c r="C92" s="4">
        <v>64.31</v>
      </c>
      <c r="D92" s="4">
        <v>64.31</v>
      </c>
      <c r="E92" s="4">
        <v>64.31</v>
      </c>
      <c r="F92" s="4" t="s">
        <v>51</v>
      </c>
      <c r="G92" s="16">
        <f>+1.67%</f>
        <v>0.0167</v>
      </c>
    </row>
    <row r="93">
      <c r="A93" s="12">
        <v>44947.0</v>
      </c>
      <c r="B93" s="4">
        <v>66.75</v>
      </c>
      <c r="C93" s="4">
        <v>65.52</v>
      </c>
      <c r="D93" s="4">
        <v>66.75</v>
      </c>
      <c r="E93" s="4">
        <v>65.52</v>
      </c>
      <c r="F93" s="15"/>
      <c r="G93" s="16">
        <f>+1.89%</f>
        <v>0.0189</v>
      </c>
    </row>
    <row r="94">
      <c r="A94" s="12">
        <v>44954.0</v>
      </c>
      <c r="B94" s="4">
        <v>66.26</v>
      </c>
      <c r="C94" s="4">
        <v>66.78</v>
      </c>
      <c r="D94" s="4">
        <v>66.78</v>
      </c>
      <c r="E94" s="4">
        <v>66.78</v>
      </c>
      <c r="F94" s="4" t="s">
        <v>52</v>
      </c>
      <c r="G94" s="17">
        <v>-0.0073</v>
      </c>
    </row>
    <row r="95">
      <c r="A95" s="11">
        <v>44961.0</v>
      </c>
      <c r="B95" s="4">
        <v>66.0</v>
      </c>
      <c r="C95" s="4">
        <v>66.27</v>
      </c>
      <c r="D95" s="4">
        <v>66.27</v>
      </c>
      <c r="E95" s="4">
        <v>66.0</v>
      </c>
      <c r="F95" s="15"/>
      <c r="G95" s="17">
        <v>-0.0039</v>
      </c>
    </row>
    <row r="96">
      <c r="A96" s="12">
        <v>44968.0</v>
      </c>
      <c r="B96" s="4">
        <v>64.63</v>
      </c>
      <c r="C96" s="4">
        <v>66.0</v>
      </c>
      <c r="D96" s="4">
        <v>66.0</v>
      </c>
      <c r="E96" s="4">
        <v>66.0</v>
      </c>
      <c r="F96" s="15"/>
      <c r="G96" s="17">
        <v>-0.0209</v>
      </c>
    </row>
    <row r="97">
      <c r="A97" s="12">
        <v>44975.0</v>
      </c>
      <c r="B97" s="4">
        <v>63.25</v>
      </c>
      <c r="C97" s="4">
        <v>63.85</v>
      </c>
      <c r="D97" s="4">
        <v>63.85</v>
      </c>
      <c r="E97" s="4">
        <v>63.85</v>
      </c>
      <c r="F97" s="4" t="s">
        <v>24</v>
      </c>
      <c r="G97" s="17">
        <v>-0.0213</v>
      </c>
    </row>
    <row r="98">
      <c r="A98" s="12">
        <v>44982.0</v>
      </c>
      <c r="B98" s="4">
        <v>64.92</v>
      </c>
      <c r="C98" s="4">
        <v>63.89</v>
      </c>
      <c r="D98" s="4">
        <v>63.89</v>
      </c>
      <c r="E98" s="4">
        <v>63.69</v>
      </c>
      <c r="F98" s="4" t="s">
        <v>53</v>
      </c>
      <c r="G98" s="16">
        <f>+2.63%</f>
        <v>0.0263</v>
      </c>
    </row>
    <row r="99">
      <c r="A99" s="11">
        <v>44989.0</v>
      </c>
      <c r="B99" s="4">
        <v>65.22</v>
      </c>
      <c r="C99" s="4">
        <v>65.13</v>
      </c>
      <c r="D99" s="4">
        <v>65.26</v>
      </c>
      <c r="E99" s="4">
        <v>65.13</v>
      </c>
      <c r="F99" s="4" t="s">
        <v>53</v>
      </c>
      <c r="G99" s="16">
        <f>+0.48%</f>
        <v>0.0048</v>
      </c>
    </row>
    <row r="100">
      <c r="A100" s="12">
        <v>44996.0</v>
      </c>
      <c r="B100" s="4">
        <v>63.58</v>
      </c>
      <c r="C100" s="4">
        <v>63.88</v>
      </c>
      <c r="D100" s="4">
        <v>64.37</v>
      </c>
      <c r="E100" s="4">
        <v>62.71</v>
      </c>
      <c r="F100" s="4" t="s">
        <v>49</v>
      </c>
      <c r="G100" s="17">
        <v>-0.0251</v>
      </c>
    </row>
    <row r="101">
      <c r="A101" s="12">
        <v>45003.0</v>
      </c>
      <c r="B101" s="4">
        <v>64.77</v>
      </c>
      <c r="C101" s="4">
        <v>63.59</v>
      </c>
      <c r="D101" s="4">
        <v>65.27</v>
      </c>
      <c r="E101" s="4">
        <v>63.59</v>
      </c>
      <c r="F101" s="4" t="s">
        <v>31</v>
      </c>
      <c r="G101" s="16">
        <f>+1.86%</f>
        <v>0.0186</v>
      </c>
    </row>
    <row r="102">
      <c r="A102" s="12">
        <v>45010.0</v>
      </c>
      <c r="B102" s="4">
        <v>66.71</v>
      </c>
      <c r="C102" s="4">
        <v>65.09</v>
      </c>
      <c r="D102" s="4">
        <v>66.72</v>
      </c>
      <c r="E102" s="4">
        <v>65.09</v>
      </c>
      <c r="F102" s="4" t="s">
        <v>37</v>
      </c>
      <c r="G102" s="16">
        <f>+3%</f>
        <v>0.03</v>
      </c>
    </row>
    <row r="103">
      <c r="A103" s="11">
        <v>45017.0</v>
      </c>
      <c r="B103" s="4">
        <v>65.64</v>
      </c>
      <c r="C103" s="4">
        <v>67.11</v>
      </c>
      <c r="D103" s="4">
        <v>67.18</v>
      </c>
      <c r="E103" s="4">
        <v>66.05</v>
      </c>
      <c r="F103" s="4" t="s">
        <v>42</v>
      </c>
      <c r="G103" s="17">
        <v>-0.016</v>
      </c>
    </row>
    <row r="104">
      <c r="A104" s="11">
        <v>45024.0</v>
      </c>
      <c r="B104" s="4">
        <v>66.48</v>
      </c>
      <c r="C104" s="4">
        <v>66.2</v>
      </c>
      <c r="D104" s="4">
        <v>66.2</v>
      </c>
      <c r="E104" s="4">
        <v>66.2</v>
      </c>
      <c r="F104" s="4" t="s">
        <v>53</v>
      </c>
      <c r="G104" s="16">
        <f>+1.28%</f>
        <v>0.0128</v>
      </c>
    </row>
    <row r="105">
      <c r="A105" s="12">
        <v>45031.0</v>
      </c>
      <c r="B105" s="4">
        <v>66.84</v>
      </c>
      <c r="C105" s="4">
        <v>66.67</v>
      </c>
      <c r="D105" s="4">
        <v>66.67</v>
      </c>
      <c r="E105" s="4">
        <v>66.67</v>
      </c>
      <c r="F105" s="4" t="s">
        <v>37</v>
      </c>
      <c r="G105" s="16">
        <f>+0.54%</f>
        <v>0.0054</v>
      </c>
    </row>
    <row r="106">
      <c r="A106" s="12">
        <v>45038.0</v>
      </c>
      <c r="B106" s="4">
        <v>66.57</v>
      </c>
      <c r="C106" s="4">
        <v>66.94</v>
      </c>
      <c r="D106" s="4">
        <v>66.94</v>
      </c>
      <c r="E106" s="4">
        <v>66.94</v>
      </c>
      <c r="F106" s="4" t="s">
        <v>40</v>
      </c>
      <c r="G106" s="17">
        <v>-0.0041</v>
      </c>
    </row>
    <row r="107">
      <c r="A107" s="12">
        <v>45045.0</v>
      </c>
      <c r="B107" s="4">
        <v>67.53</v>
      </c>
      <c r="C107" s="4">
        <v>66.22</v>
      </c>
      <c r="D107" s="4">
        <v>66.22</v>
      </c>
      <c r="E107" s="4">
        <v>66.22</v>
      </c>
      <c r="F107" s="4" t="s">
        <v>42</v>
      </c>
      <c r="G107" s="16">
        <f>+1.44%</f>
        <v>0.0144</v>
      </c>
    </row>
    <row r="108">
      <c r="A108" s="7">
        <v>45052.0</v>
      </c>
      <c r="B108" s="4">
        <v>68.43</v>
      </c>
      <c r="C108" s="4">
        <v>68.34</v>
      </c>
      <c r="D108" s="4">
        <v>68.34</v>
      </c>
      <c r="E108" s="4">
        <v>68.11</v>
      </c>
      <c r="F108" s="4" t="s">
        <v>24</v>
      </c>
      <c r="G108" s="16">
        <f>+1.33%</f>
        <v>0.0133</v>
      </c>
    </row>
    <row r="109">
      <c r="A109" s="9">
        <v>45059.0</v>
      </c>
      <c r="B109" s="4">
        <v>69.21</v>
      </c>
      <c r="C109" s="4">
        <v>68.78</v>
      </c>
      <c r="D109" s="4">
        <v>68.78</v>
      </c>
      <c r="E109" s="4">
        <v>68.78</v>
      </c>
      <c r="F109" s="4" t="s">
        <v>42</v>
      </c>
      <c r="G109" s="16">
        <f>+1.14%</f>
        <v>0.0114</v>
      </c>
    </row>
    <row r="110">
      <c r="A110" s="9">
        <v>45066.0</v>
      </c>
      <c r="B110" s="4">
        <v>68.56</v>
      </c>
      <c r="C110" s="4">
        <v>68.33</v>
      </c>
      <c r="D110" s="4">
        <v>68.33</v>
      </c>
      <c r="E110" s="4">
        <v>68.33</v>
      </c>
      <c r="F110" s="4" t="s">
        <v>40</v>
      </c>
      <c r="G110" s="17">
        <v>-0.0093</v>
      </c>
    </row>
    <row r="111">
      <c r="A111" s="9">
        <v>45073.0</v>
      </c>
      <c r="B111" s="4">
        <v>70.47</v>
      </c>
      <c r="C111" s="4">
        <v>68.33</v>
      </c>
      <c r="D111" s="4">
        <v>68.33</v>
      </c>
      <c r="E111" s="4">
        <v>68.22</v>
      </c>
      <c r="F111" s="4" t="s">
        <v>51</v>
      </c>
      <c r="G111" s="16">
        <f>+2.79%</f>
        <v>0.0279</v>
      </c>
    </row>
    <row r="112">
      <c r="A112" s="11">
        <v>45080.0</v>
      </c>
      <c r="B112" s="4">
        <v>71.4</v>
      </c>
      <c r="C112" s="4">
        <v>69.88</v>
      </c>
      <c r="D112" s="4">
        <v>69.88</v>
      </c>
      <c r="E112" s="4">
        <v>69.88</v>
      </c>
      <c r="F112" s="4" t="s">
        <v>31</v>
      </c>
      <c r="G112" s="16">
        <f>+1.32%</f>
        <v>0.0132</v>
      </c>
    </row>
    <row r="113">
      <c r="A113" s="12">
        <v>45087.0</v>
      </c>
      <c r="B113" s="4">
        <v>72.68</v>
      </c>
      <c r="C113" s="4">
        <v>72.42</v>
      </c>
      <c r="D113" s="4">
        <v>72.42</v>
      </c>
      <c r="E113" s="4">
        <v>72.42</v>
      </c>
      <c r="F113" s="4" t="s">
        <v>43</v>
      </c>
      <c r="G113" s="16">
        <f>+1.8%</f>
        <v>0.018</v>
      </c>
    </row>
    <row r="114">
      <c r="A114" s="12">
        <v>45094.0</v>
      </c>
      <c r="B114" s="4">
        <v>69.67</v>
      </c>
      <c r="C114" s="4">
        <v>71.71</v>
      </c>
      <c r="D114" s="4">
        <v>71.71</v>
      </c>
      <c r="E114" s="4">
        <v>71.3</v>
      </c>
      <c r="F114" s="4" t="s">
        <v>40</v>
      </c>
      <c r="G114" s="17">
        <v>-0.0415</v>
      </c>
    </row>
    <row r="115">
      <c r="A115" s="12">
        <v>45101.0</v>
      </c>
      <c r="B115" s="4">
        <v>70.99</v>
      </c>
      <c r="C115" s="4">
        <v>69.9</v>
      </c>
      <c r="D115" s="4">
        <v>69.9</v>
      </c>
      <c r="E115" s="4">
        <v>69.9</v>
      </c>
      <c r="F115" s="4" t="s">
        <v>43</v>
      </c>
      <c r="G115" s="16">
        <f>+1.89%</f>
        <v>0.0189</v>
      </c>
    </row>
    <row r="116">
      <c r="A116" s="11">
        <v>45108.0</v>
      </c>
      <c r="B116" s="4">
        <v>70.52</v>
      </c>
      <c r="C116" s="4">
        <v>70.5</v>
      </c>
      <c r="D116" s="4">
        <v>70.5</v>
      </c>
      <c r="E116" s="4">
        <v>69.95</v>
      </c>
      <c r="F116" s="4" t="s">
        <v>37</v>
      </c>
      <c r="G116" s="17">
        <v>-0.0066</v>
      </c>
    </row>
    <row r="117">
      <c r="A117" s="11">
        <v>45115.0</v>
      </c>
      <c r="B117" s="4">
        <v>71.74</v>
      </c>
      <c r="C117" s="4">
        <v>70.52</v>
      </c>
      <c r="D117" s="4">
        <v>72.41</v>
      </c>
      <c r="E117" s="4">
        <v>70.52</v>
      </c>
      <c r="F117" s="4" t="s">
        <v>35</v>
      </c>
      <c r="G117" s="16">
        <f>+1.73%</f>
        <v>0.0173</v>
      </c>
    </row>
    <row r="118">
      <c r="A118" s="12">
        <v>45122.0</v>
      </c>
      <c r="B118" s="4">
        <v>71.62</v>
      </c>
      <c r="C118" s="4">
        <v>72.42</v>
      </c>
      <c r="D118" s="4">
        <v>72.42</v>
      </c>
      <c r="E118" s="4">
        <v>72.42</v>
      </c>
      <c r="F118" s="4" t="s">
        <v>54</v>
      </c>
      <c r="G118" s="17">
        <v>-0.0017</v>
      </c>
    </row>
    <row r="119">
      <c r="A119" s="12">
        <v>45129.0</v>
      </c>
      <c r="B119" s="4">
        <v>73.49</v>
      </c>
      <c r="C119" s="4">
        <v>72.73</v>
      </c>
      <c r="D119" s="4">
        <v>72.73</v>
      </c>
      <c r="E119" s="4">
        <v>72.73</v>
      </c>
      <c r="F119" s="4" t="s">
        <v>55</v>
      </c>
      <c r="G119" s="16">
        <f>+2.6%</f>
        <v>0.026</v>
      </c>
    </row>
    <row r="120">
      <c r="A120" s="12">
        <v>45136.0</v>
      </c>
      <c r="B120" s="4">
        <v>71.21</v>
      </c>
      <c r="C120" s="4">
        <v>72.13</v>
      </c>
      <c r="D120" s="4">
        <v>72.13</v>
      </c>
      <c r="E120" s="4">
        <v>70.0</v>
      </c>
      <c r="F120" s="4" t="s">
        <v>42</v>
      </c>
      <c r="G120" s="17">
        <v>-0.0309</v>
      </c>
    </row>
    <row r="121">
      <c r="A121" s="11">
        <v>45143.0</v>
      </c>
      <c r="B121" s="4">
        <v>70.39</v>
      </c>
      <c r="C121" s="4">
        <v>71.33</v>
      </c>
      <c r="D121" s="4">
        <v>71.33</v>
      </c>
      <c r="E121" s="4">
        <v>70.56</v>
      </c>
      <c r="F121" s="4" t="s">
        <v>40</v>
      </c>
      <c r="G121" s="17">
        <v>-0.0116</v>
      </c>
    </row>
    <row r="122">
      <c r="A122" s="12">
        <v>45150.0</v>
      </c>
      <c r="B122" s="4">
        <v>67.99</v>
      </c>
      <c r="C122" s="4">
        <v>69.4</v>
      </c>
      <c r="D122" s="4">
        <v>69.4</v>
      </c>
      <c r="E122" s="4">
        <v>69.4</v>
      </c>
      <c r="F122" s="4" t="s">
        <v>36</v>
      </c>
      <c r="G122" s="17">
        <v>-0.0341</v>
      </c>
    </row>
    <row r="123">
      <c r="A123" s="12">
        <v>45157.0</v>
      </c>
      <c r="B123" s="4">
        <v>68.63</v>
      </c>
      <c r="C123" s="4">
        <v>68.52</v>
      </c>
      <c r="D123" s="4">
        <v>69.35</v>
      </c>
      <c r="E123" s="4">
        <v>68.38</v>
      </c>
      <c r="F123" s="4" t="s">
        <v>30</v>
      </c>
      <c r="G123" s="16">
        <f>+0.93%</f>
        <v>0.0093</v>
      </c>
    </row>
    <row r="124">
      <c r="A124" s="12">
        <v>45164.0</v>
      </c>
      <c r="B124" s="4">
        <v>70.98</v>
      </c>
      <c r="C124" s="4">
        <v>68.62</v>
      </c>
      <c r="D124" s="4">
        <v>70.98</v>
      </c>
      <c r="E124" s="4">
        <v>68.62</v>
      </c>
      <c r="F124" s="15"/>
      <c r="G124" s="16">
        <f>+3.43%</f>
        <v>0.0343</v>
      </c>
    </row>
    <row r="125">
      <c r="A125" s="11">
        <v>45171.0</v>
      </c>
      <c r="B125" s="4">
        <v>70.85</v>
      </c>
      <c r="C125" s="4">
        <v>71.29</v>
      </c>
      <c r="D125" s="4">
        <v>71.32</v>
      </c>
      <c r="E125" s="4">
        <v>70.82</v>
      </c>
      <c r="F125" s="4" t="s">
        <v>56</v>
      </c>
      <c r="G125" s="17">
        <v>-0.0019</v>
      </c>
    </row>
    <row r="126">
      <c r="A126" s="11">
        <v>45178.0</v>
      </c>
      <c r="B126" s="4">
        <v>72.53</v>
      </c>
      <c r="C126" s="4">
        <v>70.84</v>
      </c>
      <c r="D126" s="4">
        <v>70.84</v>
      </c>
      <c r="E126" s="4">
        <v>70.84</v>
      </c>
      <c r="F126" s="15"/>
      <c r="G126" s="16">
        <f>+2.38%</f>
        <v>0.0238</v>
      </c>
    </row>
    <row r="127">
      <c r="A127" s="12">
        <v>45185.0</v>
      </c>
      <c r="B127" s="4">
        <v>71.24</v>
      </c>
      <c r="C127" s="4">
        <v>72.63</v>
      </c>
      <c r="D127" s="4">
        <v>72.63</v>
      </c>
      <c r="E127" s="4">
        <v>71.13</v>
      </c>
      <c r="F127" s="4" t="s">
        <v>40</v>
      </c>
      <c r="G127" s="17">
        <v>-0.0178</v>
      </c>
    </row>
    <row r="128">
      <c r="A128" s="12">
        <v>45192.0</v>
      </c>
      <c r="B128" s="4">
        <v>69.4</v>
      </c>
      <c r="C128" s="4">
        <v>71.24</v>
      </c>
      <c r="D128" s="4">
        <v>71.24</v>
      </c>
      <c r="E128" s="4">
        <v>71.24</v>
      </c>
      <c r="F128" s="15"/>
      <c r="G128" s="17">
        <v>-0.0258</v>
      </c>
    </row>
    <row r="129">
      <c r="A129" s="12">
        <v>45199.0</v>
      </c>
      <c r="B129" s="4">
        <v>67.81</v>
      </c>
      <c r="C129" s="4">
        <v>66.31</v>
      </c>
      <c r="D129" s="4">
        <v>67.48</v>
      </c>
      <c r="E129" s="4">
        <v>66.31</v>
      </c>
      <c r="F129" s="4" t="s">
        <v>57</v>
      </c>
      <c r="G129" s="17">
        <v>-0.023</v>
      </c>
    </row>
    <row r="130">
      <c r="A130" s="11">
        <v>45206.0</v>
      </c>
      <c r="B130" s="4">
        <v>68.34</v>
      </c>
      <c r="C130" s="4">
        <v>67.81</v>
      </c>
      <c r="D130" s="4">
        <v>68.34</v>
      </c>
      <c r="E130" s="4">
        <v>67.81</v>
      </c>
      <c r="F130" s="15"/>
      <c r="G130" s="16">
        <f>+0.79%</f>
        <v>0.0079</v>
      </c>
    </row>
    <row r="131">
      <c r="A131" s="12">
        <v>45213.0</v>
      </c>
      <c r="B131" s="4">
        <v>66.78</v>
      </c>
      <c r="C131" s="4">
        <v>68.12</v>
      </c>
      <c r="D131" s="4">
        <v>68.12</v>
      </c>
      <c r="E131" s="4">
        <v>67.05</v>
      </c>
      <c r="F131" s="4" t="s">
        <v>58</v>
      </c>
      <c r="G131" s="17">
        <v>-0.0228</v>
      </c>
    </row>
    <row r="132">
      <c r="A132" s="12">
        <v>45220.0</v>
      </c>
      <c r="B132" s="4">
        <v>66.52</v>
      </c>
      <c r="C132" s="4">
        <v>66.69</v>
      </c>
      <c r="D132" s="4">
        <v>66.69</v>
      </c>
      <c r="E132" s="4">
        <v>66.69</v>
      </c>
      <c r="F132" s="4" t="s">
        <v>59</v>
      </c>
      <c r="G132" s="17">
        <v>-0.0039</v>
      </c>
    </row>
    <row r="133">
      <c r="A133" s="12">
        <v>45227.0</v>
      </c>
      <c r="B133" s="4">
        <v>71.27</v>
      </c>
      <c r="C133" s="4">
        <v>68.0</v>
      </c>
      <c r="D133" s="4">
        <v>68.0</v>
      </c>
      <c r="E133" s="4">
        <v>66.78</v>
      </c>
      <c r="F133" s="4" t="s">
        <v>35</v>
      </c>
      <c r="G133" s="16">
        <f>+7.14%</f>
        <v>0.0714</v>
      </c>
    </row>
    <row r="134">
      <c r="A134" s="11">
        <v>45234.0</v>
      </c>
      <c r="B134" s="4">
        <v>68.94</v>
      </c>
      <c r="C134" s="4">
        <v>69.25</v>
      </c>
      <c r="D134" s="4">
        <v>69.25</v>
      </c>
      <c r="E134" s="4">
        <v>69.25</v>
      </c>
      <c r="F134" s="4" t="s">
        <v>54</v>
      </c>
      <c r="G134" s="17">
        <v>-0.0327</v>
      </c>
    </row>
    <row r="135">
      <c r="A135" s="12">
        <v>45241.0</v>
      </c>
      <c r="B135" s="4">
        <v>71.36</v>
      </c>
      <c r="C135" s="4">
        <v>68.96</v>
      </c>
      <c r="D135" s="4">
        <v>71.43</v>
      </c>
      <c r="E135" s="4">
        <v>68.96</v>
      </c>
      <c r="F135" s="4" t="s">
        <v>60</v>
      </c>
      <c r="G135" s="16">
        <f>+3.51%</f>
        <v>0.0351</v>
      </c>
    </row>
    <row r="136">
      <c r="A136" s="12">
        <v>45248.0</v>
      </c>
      <c r="B136" s="4">
        <v>71.76</v>
      </c>
      <c r="C136" s="4">
        <v>71.37</v>
      </c>
      <c r="D136" s="4">
        <v>71.37</v>
      </c>
      <c r="E136" s="4">
        <v>71.37</v>
      </c>
      <c r="F136" s="4" t="s">
        <v>43</v>
      </c>
      <c r="G136" s="16">
        <f>+0.57%</f>
        <v>0.0057</v>
      </c>
    </row>
    <row r="137">
      <c r="A137" s="12">
        <v>45255.0</v>
      </c>
      <c r="B137" s="4">
        <v>72.18</v>
      </c>
      <c r="C137" s="4">
        <v>71.77</v>
      </c>
      <c r="D137" s="4">
        <v>71.77</v>
      </c>
      <c r="E137" s="4">
        <v>71.77</v>
      </c>
      <c r="F137" s="15"/>
      <c r="G137" s="16">
        <f>+0.58%</f>
        <v>0.0058</v>
      </c>
    </row>
    <row r="138">
      <c r="A138" s="11">
        <v>45262.0</v>
      </c>
      <c r="B138" s="4">
        <v>71.82</v>
      </c>
      <c r="C138" s="4">
        <v>72.18</v>
      </c>
      <c r="D138" s="4">
        <v>72.18</v>
      </c>
      <c r="E138" s="4">
        <v>72.18</v>
      </c>
      <c r="F138" s="15"/>
      <c r="G138" s="17">
        <v>-0.005</v>
      </c>
    </row>
    <row r="139">
      <c r="A139" s="11">
        <v>45269.0</v>
      </c>
      <c r="B139" s="4">
        <v>72.91</v>
      </c>
      <c r="C139" s="4">
        <v>72.26</v>
      </c>
      <c r="D139" s="4">
        <v>72.26</v>
      </c>
      <c r="E139" s="4">
        <v>72.26</v>
      </c>
      <c r="F139" s="4" t="s">
        <v>39</v>
      </c>
      <c r="G139" s="16">
        <f>+1.52%</f>
        <v>0.0152</v>
      </c>
    </row>
    <row r="140">
      <c r="A140" s="12">
        <v>45276.0</v>
      </c>
      <c r="B140" s="4">
        <v>73.55</v>
      </c>
      <c r="C140" s="4">
        <v>72.91</v>
      </c>
      <c r="D140" s="4">
        <v>72.91</v>
      </c>
      <c r="E140" s="4">
        <v>72.91</v>
      </c>
      <c r="F140" s="15"/>
      <c r="G140" s="16">
        <f>+0.88%</f>
        <v>0.0088</v>
      </c>
    </row>
    <row r="141">
      <c r="A141" s="12">
        <v>45283.0</v>
      </c>
      <c r="B141" s="4">
        <v>74.79</v>
      </c>
      <c r="C141" s="4">
        <v>74.6</v>
      </c>
      <c r="D141" s="4">
        <v>74.6</v>
      </c>
      <c r="E141" s="4">
        <v>74.6</v>
      </c>
      <c r="F141" s="4" t="s">
        <v>61</v>
      </c>
      <c r="G141" s="16">
        <f>+1.69%</f>
        <v>0.0169</v>
      </c>
    </row>
    <row r="142">
      <c r="A142" s="12">
        <v>45290.0</v>
      </c>
      <c r="B142" s="4">
        <v>74.41</v>
      </c>
      <c r="C142" s="4">
        <v>74.52</v>
      </c>
      <c r="D142" s="4">
        <v>74.52</v>
      </c>
      <c r="E142" s="4">
        <v>74.52</v>
      </c>
      <c r="F142" s="4" t="s">
        <v>35</v>
      </c>
      <c r="G142" s="17">
        <v>-0.0051</v>
      </c>
    </row>
    <row r="143">
      <c r="A143" s="11">
        <v>45297.0</v>
      </c>
      <c r="B143" s="4">
        <v>77.51</v>
      </c>
      <c r="C143" s="4">
        <v>74.41</v>
      </c>
      <c r="D143" s="4">
        <v>77.52</v>
      </c>
      <c r="E143" s="4">
        <v>74.41</v>
      </c>
      <c r="F143" s="15"/>
      <c r="G143" s="16">
        <f>+4.17%</f>
        <v>0.0417</v>
      </c>
    </row>
    <row r="144">
      <c r="A144" s="12">
        <v>45304.0</v>
      </c>
      <c r="B144" s="4">
        <v>76.26</v>
      </c>
      <c r="C144" s="4">
        <v>77.51</v>
      </c>
      <c r="D144" s="4">
        <v>78.29</v>
      </c>
      <c r="E144" s="4">
        <v>75.51</v>
      </c>
      <c r="F144" s="15"/>
      <c r="G144" s="17">
        <v>-0.0161</v>
      </c>
    </row>
    <row r="145">
      <c r="A145" s="12">
        <v>45311.0</v>
      </c>
      <c r="B145" s="4">
        <v>76.35</v>
      </c>
      <c r="C145" s="4">
        <v>76.61</v>
      </c>
      <c r="D145" s="4">
        <v>77.17</v>
      </c>
      <c r="E145" s="4">
        <v>76.61</v>
      </c>
      <c r="F145" s="4" t="s">
        <v>40</v>
      </c>
      <c r="G145" s="16">
        <f>+0.11%</f>
        <v>0.0011</v>
      </c>
    </row>
    <row r="146">
      <c r="A146" s="12">
        <v>45318.0</v>
      </c>
      <c r="B146" s="4">
        <v>77.04</v>
      </c>
      <c r="C146" s="4">
        <v>76.61</v>
      </c>
      <c r="D146" s="4">
        <v>77.5</v>
      </c>
      <c r="E146" s="4">
        <v>76.61</v>
      </c>
      <c r="F146" s="4" t="s">
        <v>54</v>
      </c>
      <c r="G146" s="16">
        <f>+0.91%</f>
        <v>0.0091</v>
      </c>
    </row>
    <row r="147">
      <c r="A147" s="11">
        <v>45325.0</v>
      </c>
      <c r="B147" s="4">
        <v>77.24</v>
      </c>
      <c r="C147" s="4">
        <v>77.33</v>
      </c>
      <c r="D147" s="4">
        <v>77.45</v>
      </c>
      <c r="E147" s="4">
        <v>77.33</v>
      </c>
      <c r="F147" s="4" t="s">
        <v>36</v>
      </c>
      <c r="G147" s="16">
        <f>+0.25%</f>
        <v>0.0025</v>
      </c>
    </row>
    <row r="148">
      <c r="A148" s="12">
        <v>45332.0</v>
      </c>
      <c r="B148" s="4">
        <v>78.87</v>
      </c>
      <c r="C148" s="4">
        <v>78.02</v>
      </c>
      <c r="D148" s="4">
        <v>78.87</v>
      </c>
      <c r="E148" s="4">
        <v>77.59</v>
      </c>
      <c r="F148" s="4" t="s">
        <v>24</v>
      </c>
      <c r="G148" s="16">
        <f>+2.11%</f>
        <v>0.0211</v>
      </c>
    </row>
    <row r="149">
      <c r="A149" s="12">
        <v>45339.0</v>
      </c>
      <c r="B149" s="4">
        <v>80.38</v>
      </c>
      <c r="C149" s="4">
        <v>79.15</v>
      </c>
      <c r="D149" s="4">
        <v>79.15</v>
      </c>
      <c r="E149" s="4">
        <v>79.15</v>
      </c>
      <c r="F149" s="4" t="s">
        <v>24</v>
      </c>
      <c r="G149" s="16">
        <f>+1.91%</f>
        <v>0.0191</v>
      </c>
    </row>
    <row r="150">
      <c r="A150" s="12">
        <v>45346.0</v>
      </c>
      <c r="B150" s="4">
        <v>81.67</v>
      </c>
      <c r="C150" s="4">
        <v>80.62</v>
      </c>
      <c r="D150" s="4">
        <v>80.62</v>
      </c>
      <c r="E150" s="4">
        <v>80.15</v>
      </c>
      <c r="F150" s="4" t="s">
        <v>29</v>
      </c>
      <c r="G150" s="16">
        <f>+1.6%</f>
        <v>0.016</v>
      </c>
    </row>
    <row r="151">
      <c r="A151" s="11">
        <v>45353.0</v>
      </c>
      <c r="B151" s="4">
        <v>83.11</v>
      </c>
      <c r="C151" s="4">
        <v>83.17</v>
      </c>
      <c r="D151" s="4">
        <v>83.17</v>
      </c>
      <c r="E151" s="4">
        <v>83.17</v>
      </c>
      <c r="F151" s="4" t="s">
        <v>29</v>
      </c>
      <c r="G151" s="16">
        <f>+1.77%</f>
        <v>0.0177</v>
      </c>
    </row>
    <row r="152">
      <c r="A152" s="11">
        <v>45360.0</v>
      </c>
      <c r="B152" s="4">
        <v>80.82</v>
      </c>
      <c r="C152" s="4">
        <v>80.98</v>
      </c>
      <c r="D152" s="4">
        <v>81.52</v>
      </c>
      <c r="E152" s="4">
        <v>80.6</v>
      </c>
      <c r="F152" s="4" t="s">
        <v>51</v>
      </c>
      <c r="G152" s="17">
        <v>-0.0276</v>
      </c>
    </row>
    <row r="153">
      <c r="A153" s="12">
        <v>45367.0</v>
      </c>
      <c r="B153" s="4">
        <v>83.65</v>
      </c>
      <c r="C153" s="4">
        <v>82.7</v>
      </c>
      <c r="D153" s="4">
        <v>82.7</v>
      </c>
      <c r="E153" s="4">
        <v>82.7</v>
      </c>
      <c r="F153" s="4" t="s">
        <v>62</v>
      </c>
      <c r="G153" s="16">
        <f>+3.5%</f>
        <v>0.035</v>
      </c>
    </row>
    <row r="154">
      <c r="A154" s="12">
        <v>45374.0</v>
      </c>
      <c r="B154" s="4">
        <v>83.05</v>
      </c>
      <c r="C154" s="4">
        <v>82.54</v>
      </c>
      <c r="D154" s="4">
        <v>83.01</v>
      </c>
      <c r="E154" s="4">
        <v>82.54</v>
      </c>
      <c r="F154" s="4" t="s">
        <v>63</v>
      </c>
      <c r="G154" s="17">
        <v>-0.0072</v>
      </c>
    </row>
    <row r="155">
      <c r="A155" s="12">
        <v>45381.0</v>
      </c>
      <c r="B155" s="4">
        <v>81.34</v>
      </c>
      <c r="C155" s="4">
        <v>81.91</v>
      </c>
      <c r="D155" s="4">
        <v>82.34</v>
      </c>
      <c r="E155" s="4">
        <v>81.23</v>
      </c>
      <c r="F155" s="4" t="s">
        <v>64</v>
      </c>
      <c r="G155" s="17">
        <v>-0.0206</v>
      </c>
    </row>
    <row r="156">
      <c r="A156" s="11">
        <v>45388.0</v>
      </c>
      <c r="B156" s="4">
        <v>80.78</v>
      </c>
      <c r="C156" s="4">
        <v>82.03</v>
      </c>
      <c r="D156" s="4">
        <v>82.03</v>
      </c>
      <c r="E156" s="4">
        <v>81.2</v>
      </c>
      <c r="F156" s="4" t="s">
        <v>55</v>
      </c>
      <c r="G156" s="17">
        <v>-0.0069</v>
      </c>
    </row>
    <row r="157">
      <c r="A157" s="12">
        <v>45395.0</v>
      </c>
      <c r="B157" s="4">
        <v>77.77</v>
      </c>
      <c r="C157" s="4">
        <v>81.09</v>
      </c>
      <c r="D157" s="4">
        <v>81.09</v>
      </c>
      <c r="E157" s="4">
        <v>77.77</v>
      </c>
      <c r="F157" s="4" t="s">
        <v>30</v>
      </c>
      <c r="G157" s="17">
        <v>-0.0372</v>
      </c>
    </row>
    <row r="158">
      <c r="A158" s="12">
        <v>45402.0</v>
      </c>
      <c r="B158" s="4">
        <v>77.9</v>
      </c>
      <c r="C158" s="4">
        <v>77.05</v>
      </c>
      <c r="D158" s="4">
        <v>77.05</v>
      </c>
      <c r="E158" s="4">
        <v>77.05</v>
      </c>
      <c r="F158" s="4" t="s">
        <v>30</v>
      </c>
      <c r="G158" s="16">
        <f>+0.17%</f>
        <v>0.0017</v>
      </c>
    </row>
    <row r="159">
      <c r="A159" s="12">
        <v>45409.0</v>
      </c>
      <c r="B159" s="4">
        <v>80.28</v>
      </c>
      <c r="C159" s="4">
        <v>78.62</v>
      </c>
      <c r="D159" s="4">
        <v>80.28</v>
      </c>
      <c r="E159" s="4">
        <v>78.23</v>
      </c>
      <c r="F159" s="15"/>
      <c r="G159" s="16">
        <f>+3.05%</f>
        <v>0.0305</v>
      </c>
    </row>
    <row r="160">
      <c r="A160" s="7">
        <v>45416.0</v>
      </c>
      <c r="B160" s="4">
        <v>79.14</v>
      </c>
      <c r="C160" s="4">
        <v>81.23</v>
      </c>
      <c r="D160" s="4">
        <v>81.23</v>
      </c>
      <c r="E160" s="4">
        <v>79.08</v>
      </c>
      <c r="F160" s="4" t="s">
        <v>30</v>
      </c>
      <c r="G160" s="17">
        <v>-0.0142</v>
      </c>
    </row>
    <row r="161">
      <c r="A161" s="9">
        <v>45423.0</v>
      </c>
      <c r="B161" s="4">
        <v>80.0</v>
      </c>
      <c r="C161" s="4">
        <v>78.71</v>
      </c>
      <c r="D161" s="4">
        <v>78.98</v>
      </c>
      <c r="E161" s="4">
        <v>78.65</v>
      </c>
      <c r="F161" s="4" t="s">
        <v>65</v>
      </c>
      <c r="G161" s="16">
        <f>+1.08%</f>
        <v>0.0108</v>
      </c>
    </row>
    <row r="162">
      <c r="A162" s="9">
        <v>45430.0</v>
      </c>
      <c r="B162" s="4">
        <v>79.72</v>
      </c>
      <c r="C162" s="4">
        <v>80.29</v>
      </c>
      <c r="D162" s="4">
        <v>80.29</v>
      </c>
      <c r="E162" s="4">
        <v>79.59</v>
      </c>
      <c r="F162" s="4" t="s">
        <v>49</v>
      </c>
      <c r="G162" s="17">
        <v>-0.0034</v>
      </c>
    </row>
    <row r="163">
      <c r="A163" s="9">
        <v>45437.0</v>
      </c>
      <c r="B163" s="4">
        <v>79.89</v>
      </c>
      <c r="C163" s="4">
        <v>80.26</v>
      </c>
      <c r="D163" s="4">
        <v>80.26</v>
      </c>
      <c r="E163" s="4">
        <v>78.66</v>
      </c>
      <c r="F163" s="15"/>
      <c r="G163" s="16">
        <f>+0.21%</f>
        <v>0.0021</v>
      </c>
    </row>
    <row r="164">
      <c r="A164" s="11">
        <v>45444.0</v>
      </c>
      <c r="B164" s="4">
        <v>80.26</v>
      </c>
      <c r="C164" s="4">
        <v>80.59</v>
      </c>
      <c r="D164" s="4">
        <v>80.59</v>
      </c>
      <c r="E164" s="4">
        <v>80.59</v>
      </c>
      <c r="F164" s="4" t="s">
        <v>66</v>
      </c>
      <c r="G164" s="16">
        <f>+0.47%</f>
        <v>0.0047</v>
      </c>
    </row>
    <row r="165">
      <c r="A165" s="11">
        <v>45451.0</v>
      </c>
      <c r="B165" s="4">
        <v>78.75</v>
      </c>
      <c r="C165" s="4">
        <v>80.69</v>
      </c>
      <c r="D165" s="4">
        <v>80.69</v>
      </c>
      <c r="E165" s="4">
        <v>78.5</v>
      </c>
      <c r="F165" s="4" t="s">
        <v>67</v>
      </c>
      <c r="G165" s="17">
        <v>-0.0189</v>
      </c>
    </row>
    <row r="166">
      <c r="A166" s="12">
        <v>45458.0</v>
      </c>
      <c r="B166" s="4">
        <v>77.51</v>
      </c>
      <c r="C166" s="4">
        <v>77.92</v>
      </c>
      <c r="D166" s="4">
        <v>78.33</v>
      </c>
      <c r="E166" s="4">
        <v>77.92</v>
      </c>
      <c r="F166" s="4" t="s">
        <v>54</v>
      </c>
      <c r="G166" s="17">
        <v>-0.0157</v>
      </c>
    </row>
    <row r="167">
      <c r="A167" s="12">
        <v>45465.0</v>
      </c>
      <c r="B167" s="4">
        <v>80.34</v>
      </c>
      <c r="C167" s="4">
        <v>78.33</v>
      </c>
      <c r="D167" s="4">
        <v>79.61</v>
      </c>
      <c r="E167" s="4">
        <v>78.33</v>
      </c>
      <c r="F167" s="4" t="s">
        <v>68</v>
      </c>
      <c r="G167" s="16">
        <f>+3.64%</f>
        <v>0.0364</v>
      </c>
    </row>
    <row r="168">
      <c r="A168" s="12">
        <v>45472.0</v>
      </c>
      <c r="B168" s="4">
        <v>81.96</v>
      </c>
      <c r="C168" s="4">
        <v>79.57</v>
      </c>
      <c r="D168" s="4">
        <v>82.22</v>
      </c>
      <c r="E168" s="4">
        <v>79.57</v>
      </c>
      <c r="F168" s="4" t="s">
        <v>24</v>
      </c>
      <c r="G168" s="16">
        <f>+2.02%</f>
        <v>0.0202</v>
      </c>
    </row>
    <row r="169">
      <c r="A169" s="11">
        <v>45479.0</v>
      </c>
      <c r="B169" s="4">
        <v>83.93</v>
      </c>
      <c r="C169" s="4">
        <v>81.83</v>
      </c>
      <c r="D169" s="4">
        <v>83.77</v>
      </c>
      <c r="E169" s="4">
        <v>81.83</v>
      </c>
      <c r="F169" s="4" t="s">
        <v>69</v>
      </c>
      <c r="G169" s="16">
        <f>+2.39%</f>
        <v>0.0239</v>
      </c>
    </row>
    <row r="170">
      <c r="A170" s="12">
        <v>45486.0</v>
      </c>
      <c r="B170" s="4">
        <v>82.24</v>
      </c>
      <c r="C170" s="4">
        <v>83.79</v>
      </c>
      <c r="D170" s="4">
        <v>84.01</v>
      </c>
      <c r="E170" s="4">
        <v>82.24</v>
      </c>
      <c r="F170" s="4" t="s">
        <v>43</v>
      </c>
      <c r="G170" s="17">
        <v>-0.0201</v>
      </c>
    </row>
    <row r="171">
      <c r="A171" s="12">
        <v>45493.0</v>
      </c>
      <c r="B171" s="4">
        <v>80.33</v>
      </c>
      <c r="C171" s="4">
        <v>82.29</v>
      </c>
      <c r="D171" s="4">
        <v>82.59</v>
      </c>
      <c r="E171" s="4">
        <v>79.71</v>
      </c>
      <c r="F171" s="4" t="s">
        <v>53</v>
      </c>
      <c r="G171" s="17">
        <v>-0.0232</v>
      </c>
    </row>
    <row r="172">
      <c r="A172" s="12">
        <v>45500.0</v>
      </c>
      <c r="B172" s="4">
        <v>75.22</v>
      </c>
      <c r="C172" s="4">
        <v>81.3</v>
      </c>
      <c r="D172" s="4">
        <v>83.05</v>
      </c>
      <c r="E172" s="4">
        <v>77.59</v>
      </c>
      <c r="F172" s="4" t="s">
        <v>35</v>
      </c>
      <c r="G172" s="17">
        <v>-0.0636</v>
      </c>
    </row>
    <row r="173">
      <c r="A173" s="11">
        <v>45507.0</v>
      </c>
      <c r="B173" s="4">
        <v>76.26</v>
      </c>
      <c r="C173" s="4">
        <v>72.68</v>
      </c>
      <c r="D173" s="4">
        <v>76.82</v>
      </c>
      <c r="E173" s="4">
        <v>72.68</v>
      </c>
      <c r="F173" s="4" t="s">
        <v>29</v>
      </c>
      <c r="G173" s="16">
        <f>+1.38%</f>
        <v>0.0138</v>
      </c>
    </row>
    <row r="174">
      <c r="A174" s="12">
        <v>45514.0</v>
      </c>
      <c r="B174" s="4">
        <v>81.28</v>
      </c>
      <c r="C174" s="4">
        <v>77.19</v>
      </c>
      <c r="D174" s="4">
        <v>81.62</v>
      </c>
      <c r="E174" s="4">
        <v>77.19</v>
      </c>
      <c r="F174" s="4" t="s">
        <v>55</v>
      </c>
      <c r="G174" s="16">
        <f>+6.58%</f>
        <v>0.0658</v>
      </c>
    </row>
    <row r="175">
      <c r="A175" s="12">
        <v>45521.0</v>
      </c>
      <c r="B175" s="4">
        <v>84.19</v>
      </c>
      <c r="C175" s="4">
        <v>82.48</v>
      </c>
      <c r="D175" s="4">
        <v>84.16</v>
      </c>
      <c r="E175" s="4">
        <v>82.25</v>
      </c>
      <c r="F175" s="4" t="s">
        <v>30</v>
      </c>
      <c r="G175" s="16">
        <f>+3.58%</f>
        <v>0.0358</v>
      </c>
    </row>
    <row r="176">
      <c r="A176" s="12">
        <v>45528.0</v>
      </c>
      <c r="B176" s="4">
        <v>84.47</v>
      </c>
      <c r="C176" s="4">
        <v>84.13</v>
      </c>
      <c r="D176" s="4">
        <v>84.64</v>
      </c>
      <c r="E176" s="4">
        <v>84.13</v>
      </c>
      <c r="F176" s="15"/>
      <c r="G176" s="16">
        <f>+0.33%</f>
        <v>0.0033</v>
      </c>
    </row>
    <row r="177">
      <c r="A177" s="12">
        <v>45535.0</v>
      </c>
      <c r="B177" s="4">
        <v>79.96</v>
      </c>
      <c r="C177" s="4">
        <v>84.09</v>
      </c>
      <c r="D177" s="4">
        <v>84.09</v>
      </c>
      <c r="E177" s="4">
        <v>79.96</v>
      </c>
      <c r="F177" s="4" t="s">
        <v>70</v>
      </c>
      <c r="G177" s="17">
        <v>-0.0533</v>
      </c>
    </row>
    <row r="178">
      <c r="A178" s="11">
        <v>45542.0</v>
      </c>
      <c r="B178" s="4">
        <v>82.33</v>
      </c>
      <c r="C178" s="4">
        <v>81.31</v>
      </c>
      <c r="D178" s="4">
        <v>82.33</v>
      </c>
      <c r="E178" s="4">
        <v>80.03</v>
      </c>
      <c r="F178" s="4" t="s">
        <v>71</v>
      </c>
      <c r="G178" s="16">
        <f>+2.96%</f>
        <v>0.0296</v>
      </c>
    </row>
    <row r="179">
      <c r="A179" s="12">
        <v>45549.0</v>
      </c>
      <c r="B179" s="4">
        <v>83.43</v>
      </c>
      <c r="C179" s="4">
        <v>82.74</v>
      </c>
      <c r="D179" s="4">
        <v>83.91</v>
      </c>
      <c r="E179" s="4">
        <v>81.35</v>
      </c>
      <c r="F179" s="4" t="s">
        <v>30</v>
      </c>
      <c r="G179" s="16">
        <f>+1.33%</f>
        <v>0.0133</v>
      </c>
    </row>
    <row r="180">
      <c r="A180" s="12">
        <v>45556.0</v>
      </c>
      <c r="B180" s="4">
        <v>84.43</v>
      </c>
      <c r="C180" s="4">
        <v>84.15</v>
      </c>
      <c r="D180" s="4">
        <v>85.44</v>
      </c>
      <c r="E180" s="4">
        <v>83.28</v>
      </c>
      <c r="F180" s="4" t="s">
        <v>70</v>
      </c>
      <c r="G180" s="16">
        <f>+1.2%</f>
        <v>0.012</v>
      </c>
    </row>
    <row r="181">
      <c r="A181" s="12">
        <v>45563.0</v>
      </c>
      <c r="B181" s="4">
        <v>84.0</v>
      </c>
      <c r="C181" s="4">
        <v>84.09</v>
      </c>
      <c r="D181" s="4">
        <v>84.09</v>
      </c>
      <c r="E181" s="4">
        <v>83.11</v>
      </c>
      <c r="F181" s="4" t="s">
        <v>72</v>
      </c>
      <c r="G181" s="17">
        <v>-0.0052</v>
      </c>
    </row>
    <row r="182">
      <c r="A182" s="11">
        <v>45570.0</v>
      </c>
      <c r="B182" s="4">
        <v>83.48</v>
      </c>
      <c r="C182" s="4">
        <v>83.63</v>
      </c>
      <c r="D182" s="4">
        <v>83.77</v>
      </c>
      <c r="E182" s="4">
        <v>83.05</v>
      </c>
      <c r="F182" s="15"/>
      <c r="G182" s="17">
        <v>-0.0061</v>
      </c>
    </row>
    <row r="183">
      <c r="A183" s="12">
        <v>45577.0</v>
      </c>
      <c r="B183" s="4">
        <v>82.21</v>
      </c>
      <c r="C183" s="4">
        <v>83.39</v>
      </c>
      <c r="D183" s="4">
        <v>83.39</v>
      </c>
      <c r="E183" s="4">
        <v>82.1</v>
      </c>
      <c r="F183" s="4" t="s">
        <v>73</v>
      </c>
      <c r="G183" s="17">
        <v>-0.0153</v>
      </c>
    </row>
    <row r="184">
      <c r="A184" s="12">
        <v>45584.0</v>
      </c>
      <c r="B184" s="4">
        <v>79.11</v>
      </c>
      <c r="C184" s="4">
        <v>81.73</v>
      </c>
      <c r="D184" s="4">
        <v>81.73</v>
      </c>
      <c r="E184" s="4">
        <v>78.57</v>
      </c>
      <c r="F184" s="4" t="s">
        <v>31</v>
      </c>
      <c r="G184" s="17">
        <v>-0.0376</v>
      </c>
    </row>
    <row r="185">
      <c r="A185" s="12">
        <v>45591.0</v>
      </c>
      <c r="B185" s="4">
        <v>80.17</v>
      </c>
      <c r="C185" s="4">
        <v>79.41</v>
      </c>
      <c r="D185" s="4">
        <v>80.56</v>
      </c>
      <c r="E185" s="4">
        <v>79.41</v>
      </c>
      <c r="F185" s="4" t="s">
        <v>30</v>
      </c>
      <c r="G185" s="16">
        <f>+1.33%</f>
        <v>0.0133</v>
      </c>
    </row>
    <row r="186">
      <c r="A186" s="11">
        <v>45598.0</v>
      </c>
      <c r="B186" s="4">
        <v>81.47</v>
      </c>
      <c r="C186" s="4">
        <v>80.32</v>
      </c>
      <c r="D186" s="4">
        <v>81.55</v>
      </c>
      <c r="E186" s="4">
        <v>80.32</v>
      </c>
      <c r="F186" s="4" t="s">
        <v>55</v>
      </c>
      <c r="G186" s="16">
        <f>+1.63%</f>
        <v>0.0163</v>
      </c>
    </row>
    <row r="187">
      <c r="A187" s="11">
        <v>45605.0</v>
      </c>
      <c r="B187" s="4">
        <v>79.26</v>
      </c>
      <c r="C187" s="4">
        <v>81.82</v>
      </c>
      <c r="D187" s="4">
        <v>81.82</v>
      </c>
      <c r="E187" s="4">
        <v>79.26</v>
      </c>
      <c r="F187" s="4" t="s">
        <v>30</v>
      </c>
      <c r="G187" s="17">
        <v>-0.0271</v>
      </c>
    </row>
    <row r="188">
      <c r="A188" s="12">
        <v>45612.0</v>
      </c>
      <c r="B188" s="4">
        <v>79.65</v>
      </c>
      <c r="C188" s="4">
        <v>79.65</v>
      </c>
      <c r="D188" s="4">
        <v>79.72</v>
      </c>
      <c r="E188" s="4">
        <v>78.54</v>
      </c>
      <c r="F188" s="4" t="s">
        <v>47</v>
      </c>
      <c r="G188" s="16">
        <f>+0.49%</f>
        <v>0.0049</v>
      </c>
    </row>
    <row r="189">
      <c r="A189" s="12">
        <v>45619.0</v>
      </c>
      <c r="B189" s="4">
        <v>81.49</v>
      </c>
      <c r="C189" s="4">
        <v>79.92</v>
      </c>
      <c r="D189" s="4">
        <v>81.49</v>
      </c>
      <c r="E189" s="4">
        <v>79.68</v>
      </c>
      <c r="F189" s="4" t="s">
        <v>74</v>
      </c>
      <c r="G189" s="16">
        <f>+2.31%</f>
        <v>0.0231</v>
      </c>
    </row>
    <row r="190">
      <c r="A190" s="12">
        <v>45626.0</v>
      </c>
      <c r="B190" s="4">
        <v>83.44</v>
      </c>
      <c r="C190" s="4">
        <v>82.67</v>
      </c>
      <c r="D190" s="4">
        <v>83.71</v>
      </c>
      <c r="E190" s="4">
        <v>82.67</v>
      </c>
      <c r="F190" s="4" t="s">
        <v>30</v>
      </c>
      <c r="G190" s="16">
        <f>+2.39%</f>
        <v>0.0239</v>
      </c>
    </row>
    <row r="191">
      <c r="A191" s="11">
        <v>45633.0</v>
      </c>
      <c r="B191" s="4">
        <v>81.61</v>
      </c>
      <c r="C191" s="4">
        <v>83.01</v>
      </c>
      <c r="D191" s="4">
        <v>83.18</v>
      </c>
      <c r="E191" s="4">
        <v>81.61</v>
      </c>
      <c r="F191" s="4" t="s">
        <v>75</v>
      </c>
      <c r="G191" s="17">
        <v>-0.0219</v>
      </c>
    </row>
    <row r="192">
      <c r="A192" s="12">
        <v>45640.0</v>
      </c>
      <c r="B192" s="4">
        <v>79.48</v>
      </c>
      <c r="C192" s="4">
        <v>81.26</v>
      </c>
      <c r="D192" s="4">
        <v>81.36</v>
      </c>
      <c r="E192" s="4">
        <v>79.25</v>
      </c>
      <c r="F192" s="4" t="s">
        <v>76</v>
      </c>
      <c r="G192" s="17">
        <v>-0.0261</v>
      </c>
    </row>
    <row r="193">
      <c r="A193" s="12">
        <v>45647.0</v>
      </c>
      <c r="B193" s="4">
        <v>80.98</v>
      </c>
      <c r="C193" s="4">
        <v>78.78</v>
      </c>
      <c r="D193" s="4">
        <v>80.98</v>
      </c>
      <c r="E193" s="4">
        <v>78.78</v>
      </c>
      <c r="F193" s="4" t="s">
        <v>77</v>
      </c>
      <c r="G193" s="16">
        <f>+1.89%</f>
        <v>0.0189</v>
      </c>
    </row>
    <row r="194">
      <c r="A194" s="12">
        <v>45654.0</v>
      </c>
      <c r="B194" s="4">
        <v>80.11</v>
      </c>
      <c r="C194" s="4">
        <v>79.92</v>
      </c>
      <c r="D194" s="4">
        <v>80.36</v>
      </c>
      <c r="E194" s="4">
        <v>79.8</v>
      </c>
      <c r="F194" s="4" t="s">
        <v>30</v>
      </c>
      <c r="G194" s="17">
        <v>-0.0107</v>
      </c>
    </row>
    <row r="195">
      <c r="A195" s="11">
        <v>45661.0</v>
      </c>
      <c r="B195" s="4">
        <v>77.89</v>
      </c>
      <c r="C195" s="4">
        <v>80.74</v>
      </c>
      <c r="D195" s="4">
        <v>80.74</v>
      </c>
      <c r="E195" s="4">
        <v>78.19</v>
      </c>
      <c r="F195" s="4" t="s">
        <v>53</v>
      </c>
      <c r="G195" s="17">
        <v>-0.0276</v>
      </c>
    </row>
  </sheetData>
  <drawing r:id="rId1"/>
</worksheet>
</file>